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gl\Downloads\"/>
    </mc:Choice>
  </mc:AlternateContent>
  <xr:revisionPtr revIDLastSave="0" documentId="8_{64E48352-6CB0-4D7B-8139-85D2E2CE698C}" xr6:coauthVersionLast="47" xr6:coauthVersionMax="47" xr10:uidLastSave="{00000000-0000-0000-0000-000000000000}"/>
  <bookViews>
    <workbookView xWindow="-120" yWindow="-120" windowWidth="29040" windowHeight="15720" xr2:uid="{176B66FE-6451-4BDA-AA13-E6EB049DBB1F}"/>
  </bookViews>
  <sheets>
    <sheet name="Planilha1" sheetId="1" r:id="rId1"/>
    <sheet name="Planilha2" sheetId="2" r:id="rId2"/>
  </sheets>
  <definedNames>
    <definedName name="Investiment_Suggestion">Planilha1!#REF!</definedName>
    <definedName name="investment">Planilha1!$E$15</definedName>
    <definedName name="Monthly_Fee">Planilha1!$E$17</definedName>
    <definedName name="Number_Of_Years">Planilha1!$E$16</definedName>
    <definedName name="Patrimony">Planilha1!$E$18</definedName>
    <definedName name="Portifolio_Income">Planilha1!#REF!</definedName>
    <definedName name="Salary">Planilha1!#REF!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B6" i="2"/>
  <c r="B7" i="2"/>
  <c r="B8" i="2"/>
  <c r="B9" i="2"/>
  <c r="B10" i="2"/>
  <c r="G10" i="2"/>
  <c r="G11" i="2"/>
  <c r="G12" i="2"/>
  <c r="G13" i="2"/>
  <c r="G14" i="2"/>
  <c r="G15" i="2"/>
  <c r="Q4" i="2"/>
  <c r="Q5" i="2"/>
  <c r="Q6" i="2"/>
  <c r="Q7" i="2"/>
  <c r="Q8" i="2"/>
  <c r="Q9" i="2"/>
  <c r="B5" i="2"/>
  <c r="C38" i="1" l="1"/>
  <c r="C33" i="1" s="1"/>
  <c r="C34" i="1" s="1"/>
  <c r="I8" i="2"/>
</calcChain>
</file>

<file path=xl/sharedStrings.xml><?xml version="1.0" encoding="utf-8"?>
<sst xmlns="http://schemas.openxmlformats.org/spreadsheetml/2006/main" count="61" uniqueCount="34">
  <si>
    <t>Profile</t>
  </si>
  <si>
    <t>Aggressive</t>
  </si>
  <si>
    <t>Conservative</t>
  </si>
  <si>
    <t>Type OF fii</t>
  </si>
  <si>
    <t>Moderate</t>
  </si>
  <si>
    <t>%</t>
  </si>
  <si>
    <t>Chave</t>
  </si>
  <si>
    <t>Logistics</t>
  </si>
  <si>
    <t>Credit/Receivables</t>
  </si>
  <si>
    <t>Shopping Malls</t>
  </si>
  <si>
    <t>Office Buildings</t>
  </si>
  <si>
    <t>Hybrid</t>
  </si>
  <si>
    <t>Hospitality</t>
  </si>
  <si>
    <t>Moderate-Credit/Receivables</t>
  </si>
  <si>
    <t>💰 Orçamento mensal disponível</t>
  </si>
  <si>
    <t>Controle de Material de Escritório</t>
  </si>
  <si>
    <t>Categoria</t>
  </si>
  <si>
    <t>Item</t>
  </si>
  <si>
    <t>Preço Unitário</t>
  </si>
  <si>
    <t>Papelaria</t>
  </si>
  <si>
    <t>Papel A4</t>
  </si>
  <si>
    <t>Informática</t>
  </si>
  <si>
    <t>Mouse</t>
  </si>
  <si>
    <t>Café</t>
  </si>
  <si>
    <t>Quantidade a Comprar</t>
  </si>
  <si>
    <t>Valor Total (R$)</t>
  </si>
  <si>
    <t>Caneta Azul</t>
  </si>
  <si>
    <t>Caderno</t>
  </si>
  <si>
    <t>Teclado</t>
  </si>
  <si>
    <t>Cozinha</t>
  </si>
  <si>
    <t>Total</t>
  </si>
  <si>
    <t>💸 Total gasto com materiais</t>
  </si>
  <si>
    <t>📊 Percentual do orçamento usado</t>
  </si>
  <si>
    <t>Resumo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</si>
</sst>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stellar"/>
      <family val="1"/>
    </font>
    <font>
      <sz val="14"/>
      <color theme="1"/>
      <name val="Castellar"/>
      <family val="1"/>
    </font>
    <font>
      <sz val="12"/>
      <color theme="1"/>
      <name val="Aptos Narrow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1"/>
      <color theme="5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medium">
        <color theme="4" tint="0.39994506668294322"/>
      </bottom>
      <diagonal/>
    </border>
    <border>
      <left style="medium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/>
      <bottom style="medium">
        <color theme="4" tint="0.39994506668294322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5" tint="0.59996337778862885"/>
      </left>
      <right style="medium">
        <color theme="5" tint="0.59996337778862885"/>
      </right>
      <top style="medium">
        <color theme="5" tint="0.59996337778862885"/>
      </top>
      <bottom/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6" xfId="0" applyBorder="1"/>
    <xf numFmtId="9" fontId="0" fillId="0" borderId="6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" fillId="5" borderId="0" xfId="3" applyAlignment="1">
      <alignment horizontal="center" vertical="center" wrapText="1"/>
    </xf>
    <xf numFmtId="44" fontId="0" fillId="0" borderId="0" xfId="1" applyFont="1"/>
    <xf numFmtId="0" fontId="8" fillId="6" borderId="0" xfId="0" applyFont="1" applyFill="1"/>
    <xf numFmtId="44" fontId="0" fillId="0" borderId="0" xfId="0" applyNumberFormat="1"/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44" fontId="5" fillId="3" borderId="7" xfId="0" applyNumberFormat="1" applyFont="1" applyFill="1" applyBorder="1" applyAlignment="1">
      <alignment horizontal="center"/>
    </xf>
    <xf numFmtId="44" fontId="5" fillId="3" borderId="7" xfId="1" applyFont="1" applyFill="1" applyBorder="1" applyAlignment="1">
      <alignment horizontal="center" vertical="center"/>
    </xf>
    <xf numFmtId="9" fontId="5" fillId="3" borderId="7" xfId="2" applyNumberFormat="1" applyFont="1" applyFill="1" applyBorder="1" applyAlignment="1">
      <alignment horizontal="center" vertical="center"/>
    </xf>
    <xf numFmtId="44" fontId="8" fillId="6" borderId="0" xfId="1" applyFont="1" applyFill="1"/>
    <xf numFmtId="0" fontId="1" fillId="0" borderId="16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44" fontId="0" fillId="0" borderId="10" xfId="1" applyFont="1" applyFill="1" applyBorder="1" applyAlignment="1">
      <alignment vertical="center" wrapText="1"/>
    </xf>
    <xf numFmtId="44" fontId="9" fillId="0" borderId="10" xfId="1" applyFont="1" applyFill="1" applyBorder="1" applyAlignment="1">
      <alignment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0" fillId="0" borderId="0" xfId="0" applyFill="1"/>
    <xf numFmtId="0" fontId="11" fillId="0" borderId="14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44" fontId="9" fillId="0" borderId="11" xfId="1" applyFont="1" applyFill="1" applyBorder="1" applyAlignment="1">
      <alignment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44" fontId="9" fillId="0" borderId="12" xfId="1" applyFont="1" applyFill="1" applyBorder="1" applyAlignment="1">
      <alignment vertical="center" wrapText="1"/>
    </xf>
  </cellXfs>
  <cellStyles count="4">
    <cellStyle name="Ênfase2" xfId="3" builtinId="33"/>
    <cellStyle name="Moeda" xfId="1" builtinId="4"/>
    <cellStyle name="Normal" xfId="0" builtinId="0"/>
    <cellStyle name="Porcentagem" xfId="2" builtinId="5"/>
  </cellStyles>
  <dxfs count="8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border outline="0">
        <top style="thick">
          <color theme="9" tint="-0.24994659260841701"/>
        </top>
        <bottom style="medium">
          <color theme="5" tint="0.59996337778862885"/>
        </bottom>
      </border>
    </dxf>
    <dxf>
      <fill>
        <patternFill patternType="solid">
          <fgColor indexed="64"/>
          <bgColor rgb="FFFFFFFF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FF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542584</xdr:colOff>
      <xdr:row>0</xdr:row>
      <xdr:rowOff>34018</xdr:rowOff>
    </xdr:from>
    <xdr:to>
      <xdr:col>5</xdr:col>
      <xdr:colOff>14377</xdr:colOff>
      <xdr:row>11</xdr:row>
      <xdr:rowOff>56257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EA248C0-067F-45E3-81A7-79564CF80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" y="34018"/>
          <a:ext cx="7712619" cy="2080319"/>
        </a:xfrm>
        <a:prstGeom prst="rect">
          <a:avLst/>
        </a:prstGeom>
        <a:ln w="63500">
          <a:solidFill>
            <a:schemeClr val="bg1">
              <a:lumMod val="95000"/>
              <a:alpha val="99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0117B-D2D4-463C-8193-67BB0BF75D03}" name="Tabela1" displayName="Tabela1" ref="B15:F26" totalsRowShown="0" headerRowDxfId="7" dataDxfId="6" tableBorderDxfId="5" headerRowCellStyle="Ênfase2">
  <autoFilter ref="B15:F26" xr:uid="{5FA0117B-D2D4-463C-8193-67BB0BF75D0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F41FD89-231E-4655-AC81-D9E9FB729C98}" name="Categoria" dataDxfId="4"/>
    <tableColumn id="2" xr3:uid="{391627F3-F085-492C-96B6-3F906434FC3A}" name="Item" dataDxfId="3"/>
    <tableColumn id="3" xr3:uid="{5B80C5DB-FCD8-478C-BC66-8C7E5519FD5F}" name="Quantidade a Comprar" dataDxfId="2"/>
    <tableColumn id="4" xr3:uid="{256D97B3-65E8-469D-82F2-C807435AD3E3}" name="Preço Unitário" dataDxfId="1"/>
    <tableColumn id="5" xr3:uid="{B9EF0061-8BB9-43E9-8381-8743654C1FD4}" name="Valor Total (R$)" dataDxfId="0">
      <calculatedColumnFormula>Tabela1[[#This Row],[Quantidade a Comprar]]*Tabela1[[#This Row],[Preço Unitário]]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3A22-862F-45F5-8182-A74223988638}">
  <dimension ref="A13:M38"/>
  <sheetViews>
    <sheetView showGridLines="0" tabSelected="1" topLeftCell="A15" zoomScale="112" workbookViewId="0">
      <selection activeCell="E30" sqref="E30"/>
    </sheetView>
  </sheetViews>
  <sheetFormatPr defaultColWidth="0" defaultRowHeight="15"/>
  <cols>
    <col min="1" max="1" width="11" customWidth="1"/>
    <col min="2" max="2" width="36.42578125" customWidth="1"/>
    <col min="3" max="3" width="34.42578125" customWidth="1"/>
    <col min="4" max="4" width="37.28515625" customWidth="1"/>
    <col min="5" max="5" width="15.42578125" customWidth="1"/>
    <col min="6" max="6" width="16.28515625" customWidth="1"/>
    <col min="7" max="7" width="9.140625" customWidth="1"/>
    <col min="8" max="8" width="9.140625" hidden="1" customWidth="1"/>
    <col min="9" max="9" width="21.5703125" hidden="1" customWidth="1"/>
    <col min="10" max="10" width="16.7109375" hidden="1" customWidth="1"/>
    <col min="11" max="11" width="11.7109375" hidden="1" customWidth="1"/>
    <col min="12" max="13" width="0" hidden="1" customWidth="1"/>
    <col min="14" max="16384" width="9.140625" hidden="1"/>
  </cols>
  <sheetData>
    <row r="13" spans="2:6" ht="15.75" thickBot="1"/>
    <row r="14" spans="2:6" ht="30" customHeight="1" thickTop="1">
      <c r="B14" s="7" t="s">
        <v>15</v>
      </c>
      <c r="C14" s="8"/>
      <c r="D14" s="8"/>
      <c r="E14" s="8"/>
      <c r="F14" s="9"/>
    </row>
    <row r="15" spans="2:6" ht="27.75" customHeight="1" thickBot="1">
      <c r="B15" s="12" t="s">
        <v>16</v>
      </c>
      <c r="C15" s="12" t="s">
        <v>17</v>
      </c>
      <c r="D15" s="12" t="s">
        <v>24</v>
      </c>
      <c r="E15" s="12" t="s">
        <v>18</v>
      </c>
      <c r="F15" s="12" t="s">
        <v>25</v>
      </c>
    </row>
    <row r="16" spans="2:6" ht="26.25" customHeight="1" thickBot="1">
      <c r="B16" s="24" t="s">
        <v>19</v>
      </c>
      <c r="C16" s="25" t="s">
        <v>20</v>
      </c>
      <c r="D16" s="25">
        <v>10</v>
      </c>
      <c r="E16" s="26">
        <v>25</v>
      </c>
      <c r="F16" s="27">
        <f>Tabela1[[#This Row],[Quantidade a Comprar]]*Tabela1[[#This Row],[Preço Unitário]]</f>
        <v>250</v>
      </c>
    </row>
    <row r="17" spans="1:10" ht="19.5" customHeight="1" thickBot="1">
      <c r="B17" s="28"/>
      <c r="C17" s="25" t="s">
        <v>26</v>
      </c>
      <c r="D17" s="25">
        <v>20</v>
      </c>
      <c r="E17" s="26">
        <v>2.5</v>
      </c>
      <c r="F17" s="27">
        <f>Tabela1[[#This Row],[Quantidade a Comprar]]*Tabela1[[#This Row],[Preço Unitário]]</f>
        <v>50</v>
      </c>
    </row>
    <row r="18" spans="1:10" ht="27" customHeight="1" thickBot="1">
      <c r="B18" s="29"/>
      <c r="C18" s="25" t="s">
        <v>27</v>
      </c>
      <c r="D18" s="25">
        <v>6</v>
      </c>
      <c r="E18" s="26">
        <v>15</v>
      </c>
      <c r="F18" s="27">
        <f>Tabela1[[#This Row],[Quantidade a Comprar]]*Tabela1[[#This Row],[Preço Unitário]]</f>
        <v>90</v>
      </c>
    </row>
    <row r="19" spans="1:10" ht="15.75" customHeight="1" thickBot="1">
      <c r="B19" s="30"/>
      <c r="C19" s="30"/>
      <c r="D19" s="30"/>
      <c r="E19" s="30"/>
      <c r="F19" s="27">
        <f>Tabela1[[#This Row],[Quantidade a Comprar]]*Tabela1[[#This Row],[Preço Unitário]]</f>
        <v>0</v>
      </c>
      <c r="J19" s="1"/>
    </row>
    <row r="20" spans="1:10" ht="15.75" customHeight="1" thickBot="1">
      <c r="B20" s="30"/>
      <c r="C20" s="30"/>
      <c r="D20" s="30"/>
      <c r="E20" s="30"/>
      <c r="F20" s="27">
        <f>Tabela1[[#This Row],[Quantidade a Comprar]]*Tabela1[[#This Row],[Preço Unitário]]</f>
        <v>0</v>
      </c>
    </row>
    <row r="21" spans="1:10" ht="15.75" thickBot="1">
      <c r="B21" s="31" t="s">
        <v>21</v>
      </c>
      <c r="C21" s="32" t="s">
        <v>22</v>
      </c>
      <c r="D21" s="32">
        <v>2</v>
      </c>
      <c r="E21" s="33">
        <v>60</v>
      </c>
      <c r="F21" s="27">
        <f>Tabela1[[#This Row],[Quantidade a Comprar]]*Tabela1[[#This Row],[Preço Unitário]]</f>
        <v>120</v>
      </c>
    </row>
    <row r="22" spans="1:10" ht="15.75" thickBot="1">
      <c r="B22" s="34"/>
      <c r="C22" s="32" t="s">
        <v>28</v>
      </c>
      <c r="D22" s="32">
        <v>3</v>
      </c>
      <c r="E22" s="33">
        <v>80</v>
      </c>
      <c r="F22" s="27">
        <f>Tabela1[[#This Row],[Quantidade a Comprar]]*Tabela1[[#This Row],[Preço Unitário]]</f>
        <v>240</v>
      </c>
    </row>
    <row r="23" spans="1:10" ht="15.75" thickBot="1">
      <c r="B23" s="30"/>
      <c r="C23" s="30"/>
      <c r="D23" s="30"/>
      <c r="E23" s="30"/>
      <c r="F23" s="27">
        <f>Tabela1[[#This Row],[Quantidade a Comprar]]*Tabela1[[#This Row],[Preço Unitário]]</f>
        <v>0</v>
      </c>
    </row>
    <row r="24" spans="1:10" ht="15.75" thickBot="1">
      <c r="B24" s="35" t="s">
        <v>29</v>
      </c>
      <c r="C24" s="36" t="s">
        <v>23</v>
      </c>
      <c r="D24" s="36">
        <v>3</v>
      </c>
      <c r="E24" s="37">
        <v>15</v>
      </c>
      <c r="F24" s="27">
        <f>Tabela1[[#This Row],[Quantidade a Comprar]]*Tabela1[[#This Row],[Preço Unitário]]</f>
        <v>45</v>
      </c>
    </row>
    <row r="25" spans="1:10">
      <c r="B25" s="30"/>
      <c r="C25" s="30"/>
      <c r="D25" s="30"/>
      <c r="E25" s="30"/>
      <c r="F25" s="30"/>
    </row>
    <row r="26" spans="1:10" ht="15.75" customHeight="1" thickBot="1"/>
    <row r="27" spans="1:10" s="10" customFormat="1">
      <c r="A27"/>
      <c r="B27"/>
      <c r="C27"/>
      <c r="D27"/>
      <c r="E27"/>
      <c r="F27"/>
      <c r="G27"/>
    </row>
    <row r="28" spans="1:10" s="11" customFormat="1" ht="15.75" thickBot="1">
      <c r="A28"/>
      <c r="B28"/>
      <c r="C28"/>
      <c r="D28"/>
      <c r="E28"/>
      <c r="F28"/>
      <c r="G28"/>
    </row>
    <row r="30" spans="1:10" ht="15.75" thickBot="1">
      <c r="C30" s="1"/>
      <c r="D30" s="1"/>
      <c r="E30" s="13"/>
      <c r="F30" s="13"/>
    </row>
    <row r="31" spans="1:10" ht="19.5" thickBot="1">
      <c r="B31" s="16" t="s">
        <v>33</v>
      </c>
      <c r="C31" s="17"/>
    </row>
    <row r="32" spans="1:10" ht="15.75" thickBot="1">
      <c r="B32" s="18" t="s">
        <v>14</v>
      </c>
      <c r="C32" s="21">
        <v>3000</v>
      </c>
    </row>
    <row r="33" spans="2:6" ht="16.5" thickBot="1">
      <c r="B33" s="19" t="s">
        <v>31</v>
      </c>
      <c r="C33" s="20">
        <f>C38</f>
        <v>795</v>
      </c>
    </row>
    <row r="34" spans="2:6" ht="15.75" thickBot="1">
      <c r="B34" s="18" t="s">
        <v>32</v>
      </c>
      <c r="C34" s="22">
        <f>C33/C32</f>
        <v>0.26500000000000001</v>
      </c>
      <c r="F34" s="15"/>
    </row>
    <row r="38" spans="2:6">
      <c r="B38" s="14" t="s">
        <v>30</v>
      </c>
      <c r="C38" s="23">
        <f>SUM(F5:INDEX(F:F,MATCH(9E+307,F:F)))</f>
        <v>795</v>
      </c>
    </row>
  </sheetData>
  <mergeCells count="2">
    <mergeCell ref="B31:C31"/>
    <mergeCell ref="B14:F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071B-2DB9-4CF1-B94E-5CA023BFA9A9}">
  <dimension ref="B4:T15"/>
  <sheetViews>
    <sheetView workbookViewId="0">
      <selection activeCell="I29" sqref="I29"/>
    </sheetView>
  </sheetViews>
  <sheetFormatPr defaultRowHeight="15"/>
  <cols>
    <col min="2" max="2" width="34.42578125" bestFit="1" customWidth="1"/>
    <col min="3" max="3" width="12.5703125" bestFit="1" customWidth="1"/>
    <col min="4" max="4" width="34.140625" bestFit="1" customWidth="1"/>
    <col min="8" max="8" width="31.42578125" bestFit="1" customWidth="1"/>
    <col min="9" max="9" width="8.7109375" bestFit="1" customWidth="1"/>
  </cols>
  <sheetData>
    <row r="4" spans="2:20">
      <c r="B4" t="s">
        <v>6</v>
      </c>
      <c r="C4" t="s">
        <v>0</v>
      </c>
      <c r="D4" t="s">
        <v>3</v>
      </c>
      <c r="E4" t="s">
        <v>5</v>
      </c>
      <c r="Q4" s="4" t="str">
        <f>R4&amp;"-"&amp;S4</f>
        <v>Aggressive-Logistics</v>
      </c>
      <c r="R4" s="4" t="s">
        <v>1</v>
      </c>
      <c r="S4" s="2" t="s">
        <v>7</v>
      </c>
      <c r="T4" s="3">
        <v>0.3</v>
      </c>
    </row>
    <row r="5" spans="2:20">
      <c r="B5" t="str">
        <f>C5&amp;"-"&amp;D5</f>
        <v>Conservative-Logistics</v>
      </c>
      <c r="C5" t="s">
        <v>2</v>
      </c>
      <c r="D5" s="2" t="s">
        <v>7</v>
      </c>
      <c r="E5" s="3">
        <v>0.2</v>
      </c>
      <c r="Q5" t="str">
        <f>R5&amp;"-"&amp;S5</f>
        <v>Aggressive-Credit/Receivables</v>
      </c>
      <c r="R5" t="s">
        <v>1</v>
      </c>
      <c r="S5" s="2" t="s">
        <v>8</v>
      </c>
      <c r="T5" s="3">
        <v>0.25</v>
      </c>
    </row>
    <row r="6" spans="2:20">
      <c r="B6" t="str">
        <f t="shared" ref="B6:B22" si="0">C6&amp;"-"&amp;D6</f>
        <v>Conservative-Credit/Receivables</v>
      </c>
      <c r="C6" t="s">
        <v>2</v>
      </c>
      <c r="D6" s="2" t="s">
        <v>8</v>
      </c>
      <c r="E6" s="3">
        <v>0.15</v>
      </c>
      <c r="Q6" t="str">
        <f>R6&amp;"-"&amp;S6</f>
        <v>Aggressive-Shopping Malls</v>
      </c>
      <c r="R6" t="s">
        <v>1</v>
      </c>
      <c r="S6" s="2" t="s">
        <v>9</v>
      </c>
      <c r="T6" s="3">
        <v>0.15</v>
      </c>
    </row>
    <row r="7" spans="2:20">
      <c r="B7" t="str">
        <f t="shared" si="0"/>
        <v>Conservative-Shopping Malls</v>
      </c>
      <c r="C7" t="s">
        <v>2</v>
      </c>
      <c r="D7" s="2" t="s">
        <v>9</v>
      </c>
      <c r="E7" s="3">
        <v>0.25</v>
      </c>
      <c r="Q7" t="str">
        <f>R7&amp;"-"&amp;S7</f>
        <v>Aggressive-Office Buildings</v>
      </c>
      <c r="R7" t="s">
        <v>1</v>
      </c>
      <c r="S7" s="2" t="s">
        <v>10</v>
      </c>
      <c r="T7" s="3">
        <v>0.1</v>
      </c>
    </row>
    <row r="8" spans="2:20">
      <c r="B8" t="str">
        <f t="shared" si="0"/>
        <v>Conservative-Office Buildings</v>
      </c>
      <c r="C8" t="s">
        <v>2</v>
      </c>
      <c r="D8" s="2" t="s">
        <v>10</v>
      </c>
      <c r="E8" s="3">
        <v>0.15</v>
      </c>
      <c r="H8" t="s">
        <v>13</v>
      </c>
      <c r="I8" t="e">
        <f>VLOOKUP(H8,$B:$E,4,FALSE)</f>
        <v>#N/A</v>
      </c>
      <c r="Q8" t="str">
        <f>R8&amp;"-"&amp;S8</f>
        <v>Aggressive-Hybrid</v>
      </c>
      <c r="R8" t="s">
        <v>1</v>
      </c>
      <c r="S8" s="2" t="s">
        <v>11</v>
      </c>
      <c r="T8" s="3">
        <v>0.1</v>
      </c>
    </row>
    <row r="9" spans="2:20">
      <c r="B9" t="str">
        <f t="shared" si="0"/>
        <v>Conservative-Hybrid</v>
      </c>
      <c r="C9" t="s">
        <v>2</v>
      </c>
      <c r="D9" s="2" t="s">
        <v>11</v>
      </c>
      <c r="E9" s="3">
        <v>0.1</v>
      </c>
      <c r="Q9" t="str">
        <f>R9&amp;"-"&amp;S9</f>
        <v>Aggressive-Hospitality</v>
      </c>
      <c r="R9" t="s">
        <v>1</v>
      </c>
      <c r="S9" s="2" t="s">
        <v>12</v>
      </c>
      <c r="T9" s="3">
        <v>0.1</v>
      </c>
    </row>
    <row r="10" spans="2:20">
      <c r="B10" t="str">
        <f t="shared" si="0"/>
        <v>Conservative-Hospitality</v>
      </c>
      <c r="C10" t="s">
        <v>2</v>
      </c>
      <c r="D10" s="2" t="s">
        <v>12</v>
      </c>
      <c r="E10" s="3">
        <v>0.15</v>
      </c>
      <c r="G10" s="4" t="str">
        <f>H10&amp;"-"&amp;I10</f>
        <v>Moderate-Logistics</v>
      </c>
      <c r="H10" s="4" t="s">
        <v>4</v>
      </c>
      <c r="I10" s="2" t="s">
        <v>7</v>
      </c>
      <c r="J10" s="5">
        <v>0.25</v>
      </c>
    </row>
    <row r="11" spans="2:20">
      <c r="G11" t="str">
        <f>H11&amp;"-"&amp;I11</f>
        <v>Moderate-Credit/Receivables</v>
      </c>
      <c r="H11" t="s">
        <v>4</v>
      </c>
      <c r="I11" s="2" t="s">
        <v>8</v>
      </c>
      <c r="J11" s="3">
        <v>0.2</v>
      </c>
    </row>
    <row r="12" spans="2:20">
      <c r="G12" t="str">
        <f>H12&amp;"-"&amp;I12</f>
        <v>Moderate-Shopping Malls</v>
      </c>
      <c r="H12" t="s">
        <v>4</v>
      </c>
      <c r="I12" s="2" t="s">
        <v>9</v>
      </c>
      <c r="J12" s="3">
        <v>0.2</v>
      </c>
    </row>
    <row r="13" spans="2:20">
      <c r="G13" t="str">
        <f>H13&amp;"-"&amp;I13</f>
        <v>Moderate-Office Buildings</v>
      </c>
      <c r="H13" t="s">
        <v>4</v>
      </c>
      <c r="I13" s="2" t="s">
        <v>10</v>
      </c>
      <c r="J13" s="3">
        <v>0.15</v>
      </c>
    </row>
    <row r="14" spans="2:20">
      <c r="G14" t="str">
        <f>H14&amp;"-"&amp;I14</f>
        <v>Moderate-Hybrid</v>
      </c>
      <c r="H14" t="s">
        <v>4</v>
      </c>
      <c r="I14" s="2" t="s">
        <v>11</v>
      </c>
      <c r="J14" s="3">
        <v>0.1</v>
      </c>
    </row>
    <row r="15" spans="2:20">
      <c r="G15" t="str">
        <f>H15&amp;"-"&amp;I15</f>
        <v>Moderate-Hospitality</v>
      </c>
      <c r="H15" t="s">
        <v>4</v>
      </c>
      <c r="I15" s="2" t="s">
        <v>12</v>
      </c>
      <c r="J15" s="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investment</vt:lpstr>
      <vt:lpstr>Monthly_Fee</vt:lpstr>
      <vt:lpstr>Number_Of_Years</vt:lpstr>
      <vt:lpstr>Patrimony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Wilgleson Francisco</dc:creator>
  <cp:lastModifiedBy>Wilgleson Francisco</cp:lastModifiedBy>
  <dcterms:created xsi:type="dcterms:W3CDTF">2025-10-01T18:35:13Z</dcterms:created>
  <dcterms:modified xsi:type="dcterms:W3CDTF">2025-10-28T14:08:02Z</dcterms:modified>
</cp:coreProperties>
</file>