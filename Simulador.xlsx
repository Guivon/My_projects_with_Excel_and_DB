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087f875cb4ee15/Documentos/"/>
    </mc:Choice>
  </mc:AlternateContent>
  <xr:revisionPtr revIDLastSave="1" documentId="8_{1E9D5AF6-CDB8-4139-80A4-6A56EDA027C8}" xr6:coauthVersionLast="47" xr6:coauthVersionMax="47" xr10:uidLastSave="{597FFD13-7B08-4E72-B5CC-D347655E2787}"/>
  <bookViews>
    <workbookView xWindow="-120" yWindow="-120" windowWidth="29040" windowHeight="15720" xr2:uid="{176B66FE-6451-4BDA-AA13-E6EB049DBB1F}"/>
  </bookViews>
  <sheets>
    <sheet name="Planilha1" sheetId="1" r:id="rId1"/>
    <sheet name="Planilha2" sheetId="2" r:id="rId2"/>
  </sheets>
  <definedNames>
    <definedName name="Investiment_Suggestion">Planilha1!$D$17</definedName>
    <definedName name="investment">Planilha1!$D$20</definedName>
    <definedName name="Monthly_Fee">Planilha1!$D$22</definedName>
    <definedName name="Number_Of_Years">Planilha1!$D$21</definedName>
    <definedName name="Patrimony">Planilha1!$D$23</definedName>
    <definedName name="Portifolio_Income">Planilha1!$D$16</definedName>
    <definedName name="Salary">Planilha1!$D$15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" i="1" l="1"/>
  <c r="D24" i="1" s="1"/>
  <c r="C34" i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5" i="2"/>
  <c r="D17" i="1"/>
  <c r="C28" i="1"/>
  <c r="D28" i="1" s="1"/>
  <c r="C29" i="1"/>
  <c r="D29" i="1" s="1"/>
  <c r="C30" i="1"/>
  <c r="D30" i="1" s="1"/>
  <c r="C31" i="1"/>
  <c r="D31" i="1" s="1"/>
  <c r="C27" i="1"/>
  <c r="D27" i="1" s="1"/>
  <c r="C38" i="1" l="1"/>
  <c r="D38" i="1" s="1"/>
  <c r="I8" i="2"/>
  <c r="C41" i="1"/>
  <c r="D41" i="1" s="1"/>
  <c r="C39" i="1"/>
  <c r="D39" i="1" s="1"/>
  <c r="C37" i="1"/>
  <c r="C36" i="1"/>
  <c r="D36" i="1" s="1"/>
  <c r="C40" i="1"/>
  <c r="D40" i="1" s="1"/>
  <c r="D37" i="1"/>
  <c r="D42" i="1" l="1"/>
</calcChain>
</file>

<file path=xl/sharedStrings.xml><?xml version="1.0" encoding="utf-8"?>
<sst xmlns="http://schemas.openxmlformats.org/spreadsheetml/2006/main" count="71" uniqueCount="36">
  <si>
    <t>Monthly Investiment</t>
  </si>
  <si>
    <t>How much to invest per month ?</t>
  </si>
  <si>
    <t>For how many years ?</t>
  </si>
  <si>
    <t>Monthly return rate ?</t>
  </si>
  <si>
    <t>Accumulated assets :</t>
  </si>
  <si>
    <t>Monthly dividends :</t>
  </si>
  <si>
    <t>Scenarios</t>
  </si>
  <si>
    <t>How much in 2 years?</t>
  </si>
  <si>
    <t>How much in 5 years?</t>
  </si>
  <si>
    <t>How much in 10 years?</t>
  </si>
  <si>
    <t>How much in 20 years?</t>
  </si>
  <si>
    <t>How much in 30 years?</t>
  </si>
  <si>
    <t>Dividendos</t>
  </si>
  <si>
    <t>Salary</t>
  </si>
  <si>
    <t>Investment suggestion</t>
  </si>
  <si>
    <t>Configuration</t>
  </si>
  <si>
    <t>Profile</t>
  </si>
  <si>
    <t>Aggressive</t>
  </si>
  <si>
    <t>Amount to be invested per month</t>
  </si>
  <si>
    <t>Type of FII</t>
  </si>
  <si>
    <t>Suggested Percentage</t>
  </si>
  <si>
    <t>Values</t>
  </si>
  <si>
    <t>Conservative</t>
  </si>
  <si>
    <t>Type OF fii</t>
  </si>
  <si>
    <t>Moderate</t>
  </si>
  <si>
    <t>%</t>
  </si>
  <si>
    <t>Chave</t>
  </si>
  <si>
    <t>Logistics</t>
  </si>
  <si>
    <t>Credit/Receivables</t>
  </si>
  <si>
    <t>Shopping Malls</t>
  </si>
  <si>
    <t>Office Buildings</t>
  </si>
  <si>
    <t>Hybrid</t>
  </si>
  <si>
    <t>Hospitality</t>
  </si>
  <si>
    <t>Value</t>
  </si>
  <si>
    <t>Moderate-Credit/Receivables</t>
  </si>
  <si>
    <t>Portfolio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</si>
</sst>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stellar"/>
      <family val="1"/>
    </font>
    <font>
      <sz val="14"/>
      <color theme="1"/>
      <name val="Castellar"/>
      <family val="1"/>
    </font>
    <font>
      <sz val="9"/>
      <color theme="2" tint="-0.89999084444715716"/>
      <name val="Cascadia Code"/>
      <family val="3"/>
    </font>
    <font>
      <sz val="11"/>
      <color theme="1"/>
      <name val="Aptos Narrow"/>
    </font>
    <font>
      <sz val="12"/>
      <color theme="1"/>
      <name val="Aptos Narrow"/>
    </font>
    <font>
      <sz val="14"/>
      <color theme="5" tint="-0.249977111117893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theme="0"/>
      <name val="Aptos Narrow"/>
    </font>
    <font>
      <b/>
      <i/>
      <sz val="11"/>
      <color theme="0"/>
      <name val="Aptos Narrow"/>
    </font>
    <font>
      <b/>
      <i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49998474074526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theme="9" tint="-0.24994659260841701"/>
      </left>
      <right style="thick">
        <color theme="9" tint="-0.24994659260841701"/>
      </right>
      <top style="thick">
        <color theme="9" tint="-0.24994659260841701"/>
      </top>
      <bottom style="thick">
        <color theme="9" tint="-0.24994659260841701"/>
      </bottom>
      <diagonal/>
    </border>
    <border>
      <left style="thick">
        <color theme="9" tint="-0.24994659260841701"/>
      </left>
      <right/>
      <top style="thick">
        <color theme="9" tint="-0.24994659260841701"/>
      </top>
      <bottom/>
      <diagonal/>
    </border>
    <border>
      <left/>
      <right/>
      <top style="thick">
        <color theme="9" tint="-0.24994659260841701"/>
      </top>
      <bottom/>
      <diagonal/>
    </border>
    <border>
      <left/>
      <right style="thick">
        <color theme="9" tint="-0.24994659260841701"/>
      </right>
      <top style="thick">
        <color theme="9" tint="-0.24994659260841701"/>
      </top>
      <bottom/>
      <diagonal/>
    </border>
    <border>
      <left style="thick">
        <color theme="9" tint="-0.24994659260841701"/>
      </left>
      <right/>
      <top style="thick">
        <color theme="9" tint="-0.24994659260841701"/>
      </top>
      <bottom style="thick">
        <color theme="9" tint="-0.24994659260841701"/>
      </bottom>
      <diagonal/>
    </border>
    <border>
      <left/>
      <right style="thick">
        <color theme="9" tint="-0.24994659260841701"/>
      </right>
      <top style="thick">
        <color theme="9" tint="-0.24994659260841701"/>
      </top>
      <bottom style="thick">
        <color theme="9" tint="-0.24994659260841701"/>
      </bottom>
      <diagonal/>
    </border>
    <border>
      <left style="thin">
        <color theme="9" tint="-0.24994659260841701"/>
      </left>
      <right/>
      <top style="thick">
        <color theme="9" tint="-0.24994659260841701"/>
      </top>
      <bottom style="thin">
        <color theme="9" tint="-0.24994659260841701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 style="thin">
        <color theme="9" tint="-0.24994659260841701"/>
      </bottom>
      <diagonal/>
    </border>
    <border>
      <left style="thick">
        <color theme="9" tint="-0.24994659260841701"/>
      </left>
      <right style="thin">
        <color theme="9" tint="-0.24994659260841701"/>
      </right>
      <top style="thick">
        <color theme="9" tint="-0.24994659260841701"/>
      </top>
      <bottom style="thin">
        <color theme="9" tint="-0.24994659260841701"/>
      </bottom>
      <diagonal/>
    </border>
    <border>
      <left style="thick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ck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ck">
        <color theme="9" tint="-0.24994659260841701"/>
      </bottom>
      <diagonal/>
    </border>
    <border>
      <left style="thin">
        <color theme="9" tint="-0.24994659260841701"/>
      </left>
      <right/>
      <top style="thin">
        <color theme="9" tint="-0.24994659260841701"/>
      </top>
      <bottom style="thick">
        <color theme="9" tint="-0.24994659260841701"/>
      </bottom>
      <diagonal/>
    </border>
    <border>
      <left style="thick">
        <color theme="9" tint="-0.24994659260841701"/>
      </left>
      <right style="thick">
        <color theme="9" tint="-0.24994659260841701"/>
      </right>
      <top style="thick">
        <color theme="9" tint="-0.24994659260841701"/>
      </top>
      <bottom style="thin">
        <color theme="9" tint="-0.2499465926084170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theme="9" tint="-0.24994659260841701"/>
      </right>
      <top style="thick">
        <color theme="9" tint="-0.24994659260841701"/>
      </top>
      <bottom style="medium">
        <color theme="9" tint="0.59996337778862885"/>
      </bottom>
      <diagonal/>
    </border>
    <border>
      <left/>
      <right style="thick">
        <color theme="9" tint="-0.24994659260841701"/>
      </right>
      <top style="medium">
        <color theme="9" tint="0.59996337778862885"/>
      </top>
      <bottom style="medium">
        <color theme="9" tint="0.59996337778862885"/>
      </bottom>
      <diagonal/>
    </border>
    <border>
      <left/>
      <right style="thick">
        <color theme="9" tint="-0.24994659260841701"/>
      </right>
      <top style="medium">
        <color theme="9" tint="0.59996337778862885"/>
      </top>
      <bottom style="thick">
        <color theme="9" tint="-0.24994659260841701"/>
      </bottom>
      <diagonal/>
    </border>
    <border>
      <left style="thick">
        <color theme="9" tint="-0.24994659260841701"/>
      </left>
      <right/>
      <top style="medium">
        <color theme="9" tint="0.39994506668294322"/>
      </top>
      <bottom style="medium">
        <color theme="9" tint="0.39994506668294322"/>
      </bottom>
      <diagonal/>
    </border>
    <border>
      <left/>
      <right style="thick">
        <color theme="9" tint="-0.24994659260841701"/>
      </right>
      <top style="medium">
        <color theme="9" tint="0.39994506668294322"/>
      </top>
      <bottom style="medium">
        <color theme="9" tint="0.39994506668294322"/>
      </bottom>
      <diagonal/>
    </border>
    <border>
      <left style="thick">
        <color theme="9" tint="-0.24994659260841701"/>
      </left>
      <right/>
      <top style="medium">
        <color theme="9" tint="0.39994506668294322"/>
      </top>
      <bottom style="thick">
        <color theme="9" tint="-0.24994659260841701"/>
      </bottom>
      <diagonal/>
    </border>
    <border>
      <left/>
      <right style="thick">
        <color theme="9" tint="-0.24994659260841701"/>
      </right>
      <top style="medium">
        <color theme="9" tint="0.39994506668294322"/>
      </top>
      <bottom style="thick">
        <color theme="9" tint="-0.24994659260841701"/>
      </bottom>
      <diagonal/>
    </border>
    <border>
      <left style="thick">
        <color theme="5" tint="0.59996337778862885"/>
      </left>
      <right style="thick">
        <color theme="5" tint="0.59996337778862885"/>
      </right>
      <top style="thick">
        <color theme="5" tint="0.59996337778862885"/>
      </top>
      <bottom style="thick">
        <color theme="5" tint="0.59996337778862885"/>
      </bottom>
      <diagonal/>
    </border>
    <border>
      <left style="thick">
        <color theme="5" tint="0.59996337778862885"/>
      </left>
      <right/>
      <top style="thick">
        <color theme="5" tint="0.59996337778862885"/>
      </top>
      <bottom style="thick">
        <color theme="5" tint="0.59996337778862885"/>
      </bottom>
      <diagonal/>
    </border>
    <border>
      <left/>
      <right/>
      <top style="thin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6" borderId="0" xfId="0" applyFont="1" applyFill="1"/>
    <xf numFmtId="0" fontId="5" fillId="2" borderId="2" xfId="0" applyFont="1" applyFill="1" applyBorder="1" applyAlignment="1">
      <alignment horizontal="center" vertical="center"/>
    </xf>
    <xf numFmtId="8" fontId="0" fillId="7" borderId="8" xfId="0" applyNumberFormat="1" applyFill="1" applyBorder="1"/>
    <xf numFmtId="8" fontId="0" fillId="7" borderId="9" xfId="0" applyNumberFormat="1" applyFill="1" applyBorder="1"/>
    <xf numFmtId="0" fontId="0" fillId="0" borderId="0" xfId="0" applyAlignment="1">
      <alignment horizontal="center"/>
    </xf>
    <xf numFmtId="8" fontId="0" fillId="7" borderId="13" xfId="0" applyNumberFormat="1" applyFill="1" applyBorder="1"/>
    <xf numFmtId="8" fontId="0" fillId="7" borderId="14" xfId="0" applyNumberFormat="1" applyFill="1" applyBorder="1"/>
    <xf numFmtId="8" fontId="0" fillId="7" borderId="2" xfId="0" applyNumberFormat="1" applyFill="1" applyBorder="1"/>
    <xf numFmtId="0" fontId="6" fillId="7" borderId="10" xfId="0" applyFont="1" applyFill="1" applyBorder="1" applyAlignment="1">
      <alignment horizontal="left" vertical="center"/>
    </xf>
    <xf numFmtId="0" fontId="6" fillId="7" borderId="11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left" vertical="center"/>
    </xf>
    <xf numFmtId="164" fontId="1" fillId="0" borderId="19" xfId="0" applyNumberFormat="1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10" fontId="1" fillId="0" borderId="20" xfId="0" applyNumberFormat="1" applyFont="1" applyBorder="1" applyAlignment="1">
      <alignment horizontal="center"/>
    </xf>
    <xf numFmtId="164" fontId="0" fillId="0" borderId="15" xfId="0" applyNumberFormat="1" applyBorder="1" applyAlignment="1">
      <alignment horizontal="center" vertical="center"/>
    </xf>
    <xf numFmtId="164" fontId="0" fillId="4" borderId="16" xfId="0" applyNumberFormat="1" applyFill="1" applyBorder="1" applyAlignment="1">
      <alignment horizontal="center" vertical="center"/>
    </xf>
    <xf numFmtId="0" fontId="8" fillId="8" borderId="27" xfId="0" applyFont="1" applyFill="1" applyBorder="1" applyAlignment="1">
      <alignment horizontal="left" vertical="top"/>
    </xf>
    <xf numFmtId="0" fontId="8" fillId="8" borderId="26" xfId="0" applyFont="1" applyFill="1" applyBorder="1" applyAlignment="1">
      <alignment horizontal="right" vertical="top"/>
    </xf>
    <xf numFmtId="0" fontId="9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/>
    <xf numFmtId="0" fontId="10" fillId="9" borderId="0" xfId="0" applyFont="1" applyFill="1" applyAlignment="1">
      <alignment horizontal="center"/>
    </xf>
    <xf numFmtId="0" fontId="0" fillId="0" borderId="28" xfId="0" applyBorder="1"/>
    <xf numFmtId="9" fontId="0" fillId="0" borderId="28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1" fillId="10" borderId="0" xfId="0" applyFont="1" applyFill="1"/>
    <xf numFmtId="164" fontId="11" fillId="10" borderId="0" xfId="0" applyNumberFormat="1" applyFont="1" applyFill="1"/>
    <xf numFmtId="0" fontId="12" fillId="10" borderId="0" xfId="0" applyFont="1" applyFill="1" applyAlignment="1">
      <alignment horizontal="center"/>
    </xf>
    <xf numFmtId="0" fontId="12" fillId="10" borderId="0" xfId="0" applyFont="1" applyFill="1"/>
    <xf numFmtId="164" fontId="12" fillId="10" borderId="0" xfId="0" applyNumberFormat="1" applyFont="1" applyFill="1"/>
    <xf numFmtId="8" fontId="1" fillId="5" borderId="20" xfId="0" applyNumberFormat="1" applyFont="1" applyFill="1" applyBorder="1" applyAlignment="1" applyProtection="1">
      <alignment horizontal="right"/>
    </xf>
    <xf numFmtId="8" fontId="1" fillId="5" borderId="21" xfId="0" applyNumberFormat="1" applyFont="1" applyFill="1" applyBorder="1" applyAlignment="1" applyProtection="1">
      <alignment horizontal="right"/>
    </xf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3" borderId="24" xfId="0" applyFont="1" applyFill="1" applyBorder="1" applyAlignment="1" applyProtection="1">
      <alignment horizontal="center"/>
    </xf>
    <xf numFmtId="0" fontId="7" fillId="3" borderId="25" xfId="0" applyFont="1" applyFill="1" applyBorder="1" applyAlignment="1" applyProtection="1">
      <alignment horizontal="center"/>
    </xf>
    <xf numFmtId="0" fontId="7" fillId="3" borderId="22" xfId="0" applyFont="1" applyFill="1" applyBorder="1" applyAlignment="1" applyProtection="1">
      <alignment horizontal="center"/>
    </xf>
    <xf numFmtId="0" fontId="7" fillId="3" borderId="23" xfId="0" applyFont="1" applyFill="1" applyBorder="1" applyAlignment="1" applyProtection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542C-4CC6-9645-32ADDB1F4D0C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542C-4CC6-9645-32ADDB1F4D0C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542C-4CC6-9645-32ADDB1F4D0C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542C-4CC6-9645-32ADDB1F4D0C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542C-4CC6-9645-32ADDB1F4D0C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542C-4CC6-9645-32ADDB1F4D0C}"/>
              </c:ext>
            </c:extLst>
          </c:dPt>
          <c:cat>
            <c:strRef>
              <c:f>Planilha1!$B$36:$B$41</c:f>
              <c:strCache>
                <c:ptCount val="6"/>
                <c:pt idx="0">
                  <c:v>Logistics</c:v>
                </c:pt>
                <c:pt idx="1">
                  <c:v>Credit/Receivables</c:v>
                </c:pt>
                <c:pt idx="2">
                  <c:v>Shopping Malls</c:v>
                </c:pt>
                <c:pt idx="3">
                  <c:v>Office Buildings</c:v>
                </c:pt>
                <c:pt idx="4">
                  <c:v>Hybrid</c:v>
                </c:pt>
                <c:pt idx="5">
                  <c:v>Hospitality</c:v>
                </c:pt>
              </c:strCache>
            </c:strRef>
          </c:cat>
          <c:val>
            <c:numRef>
              <c:f>Planilha1!$C$36:$C$41</c:f>
              <c:numCache>
                <c:formatCode>0%</c:formatCode>
                <c:ptCount val="6"/>
                <c:pt idx="0">
                  <c:v>0.2</c:v>
                </c:pt>
                <c:pt idx="1">
                  <c:v>0.15</c:v>
                </c:pt>
                <c:pt idx="2">
                  <c:v>0.25</c:v>
                </c:pt>
                <c:pt idx="3">
                  <c:v>0.15</c:v>
                </c:pt>
                <c:pt idx="4">
                  <c:v>0.1</c:v>
                </c:pt>
                <c:pt idx="5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1-4E94-8593-3420B441D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577061</xdr:colOff>
      <xdr:row>42</xdr:row>
      <xdr:rowOff>98864</xdr:rowOff>
    </xdr:from>
    <xdr:to>
      <xdr:col>4</xdr:col>
      <xdr:colOff>264197</xdr:colOff>
      <xdr:row>63</xdr:row>
      <xdr:rowOff>62573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5A818E7-9239-432F-B8BF-B96249733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173812</xdr:colOff>
      <xdr:row>0</xdr:row>
      <xdr:rowOff>144623</xdr:rowOff>
    </xdr:from>
    <xdr:to>
      <xdr:col>5</xdr:col>
      <xdr:colOff>368485</xdr:colOff>
      <xdr:row>11</xdr:row>
      <xdr:rowOff>166862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EA248C0-067F-45E3-81A7-79564CF80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812" y="144623"/>
          <a:ext cx="7717337" cy="2087148"/>
        </a:xfrm>
        <a:prstGeom prst="rect">
          <a:avLst/>
        </a:prstGeom>
        <a:ln w="63500">
          <a:solidFill>
            <a:schemeClr val="bg1">
              <a:lumMod val="95000"/>
              <a:alpha val="99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E3A22-862F-45F5-8182-A74223988638}">
  <dimension ref="A13:L68"/>
  <sheetViews>
    <sheetView showGridLines="0" tabSelected="1" topLeftCell="A27" zoomScale="137" workbookViewId="0">
      <selection activeCell="E20" sqref="E20"/>
    </sheetView>
  </sheetViews>
  <sheetFormatPr defaultColWidth="0" defaultRowHeight="15"/>
  <cols>
    <col min="1" max="1" width="9.140625" customWidth="1"/>
    <col min="2" max="2" width="33.5703125" customWidth="1"/>
    <col min="3" max="3" width="46.140625" customWidth="1"/>
    <col min="4" max="4" width="14.7109375" bestFit="1" customWidth="1"/>
    <col min="5" max="6" width="9.140625" customWidth="1"/>
    <col min="7" max="7" width="9.140625" hidden="1" customWidth="1"/>
    <col min="8" max="8" width="21.5703125" hidden="1" customWidth="1"/>
    <col min="9" max="9" width="16.7109375" hidden="1" customWidth="1"/>
    <col min="10" max="10" width="11.7109375" hidden="1" customWidth="1"/>
    <col min="11" max="12" width="0" hidden="1" customWidth="1"/>
    <col min="13" max="16384" width="9.140625" hidden="1"/>
  </cols>
  <sheetData>
    <row r="13" spans="2:4" ht="15.75" thickBot="1"/>
    <row r="14" spans="2:4" ht="30" customHeight="1" thickTop="1" thickBot="1">
      <c r="B14" s="35" t="s">
        <v>15</v>
      </c>
      <c r="C14" s="36"/>
      <c r="D14" s="37"/>
    </row>
    <row r="15" spans="2:4" ht="27.75" customHeight="1" thickTop="1" thickBot="1">
      <c r="B15" s="33" t="s">
        <v>13</v>
      </c>
      <c r="C15" s="34"/>
      <c r="D15" s="15">
        <v>30000</v>
      </c>
    </row>
    <row r="16" spans="2:4" ht="26.25" customHeight="1" thickTop="1" thickBot="1">
      <c r="B16" s="33" t="s">
        <v>35</v>
      </c>
      <c r="C16" s="34"/>
      <c r="D16" s="51">
        <v>6.0000000000000001E-3</v>
      </c>
    </row>
    <row r="17" spans="1:9" ht="19.5" customHeight="1" thickTop="1" thickBot="1">
      <c r="B17" s="41" t="s">
        <v>14</v>
      </c>
      <c r="C17" s="42"/>
      <c r="D17" s="16">
        <f>D15*30%</f>
        <v>9000</v>
      </c>
    </row>
    <row r="18" spans="1:9" ht="18" customHeight="1" thickTop="1" thickBot="1"/>
    <row r="19" spans="1:9" ht="24.75" customHeight="1" thickTop="1" thickBot="1">
      <c r="B19" s="38" t="s">
        <v>0</v>
      </c>
      <c r="C19" s="39"/>
      <c r="D19" s="40"/>
      <c r="I19" s="5"/>
    </row>
    <row r="20" spans="1:9" ht="21" customHeight="1" thickTop="1" thickBot="1">
      <c r="B20" s="43" t="s">
        <v>1</v>
      </c>
      <c r="C20" s="44"/>
      <c r="D20" s="12">
        <v>9000</v>
      </c>
    </row>
    <row r="21" spans="1:9" ht="16.5" thickBot="1">
      <c r="B21" s="43" t="s">
        <v>2</v>
      </c>
      <c r="C21" s="44"/>
      <c r="D21" s="13">
        <v>5</v>
      </c>
    </row>
    <row r="22" spans="1:9" ht="16.5" thickBot="1">
      <c r="B22" s="43" t="s">
        <v>3</v>
      </c>
      <c r="C22" s="44"/>
      <c r="D22" s="14">
        <v>1.0800000000000001E-2</v>
      </c>
    </row>
    <row r="23" spans="1:9" ht="16.5" thickBot="1">
      <c r="B23" s="47" t="s">
        <v>4</v>
      </c>
      <c r="C23" s="48"/>
      <c r="D23" s="31">
        <f>FV(Monthly_Fee,Number_Of_Years*12,investment*-1)</f>
        <v>754236.17423332587</v>
      </c>
    </row>
    <row r="24" spans="1:9" ht="16.5" thickBot="1">
      <c r="B24" s="45" t="s">
        <v>5</v>
      </c>
      <c r="C24" s="46"/>
      <c r="D24" s="32">
        <f>D23*D22</f>
        <v>8145.7506817199201</v>
      </c>
    </row>
    <row r="25" spans="1:9" ht="16.5" thickTop="1" thickBot="1">
      <c r="A25" s="1">
        <v>2</v>
      </c>
    </row>
    <row r="26" spans="1:9" ht="28.5" thickTop="1" thickBot="1">
      <c r="A26" s="1">
        <v>5</v>
      </c>
      <c r="B26" s="49" t="s">
        <v>6</v>
      </c>
      <c r="C26" s="50"/>
      <c r="D26" s="2" t="s">
        <v>12</v>
      </c>
    </row>
    <row r="27" spans="1:9" ht="16.5" thickTop="1" thickBot="1">
      <c r="A27" s="1">
        <v>10</v>
      </c>
      <c r="B27" s="9" t="s">
        <v>7</v>
      </c>
      <c r="C27" s="3">
        <f>FV($D$22,$A25*12,$D$20*-1)</f>
        <v>245077.77294523432</v>
      </c>
      <c r="D27" s="7">
        <f>C27*Portifolio_Income</f>
        <v>1470.466637671406</v>
      </c>
    </row>
    <row r="28" spans="1:9" ht="16.5" thickTop="1" thickBot="1">
      <c r="A28" s="1">
        <v>20</v>
      </c>
      <c r="B28" s="10" t="s">
        <v>8</v>
      </c>
      <c r="C28" s="4">
        <f>FV($D$22,$A26*12,$D$20*-1)</f>
        <v>754236.17423332587</v>
      </c>
      <c r="D28" s="7">
        <f>C28*Portifolio_Income</f>
        <v>4525.417045399955</v>
      </c>
    </row>
    <row r="29" spans="1:9" ht="16.5" thickTop="1" thickBot="1">
      <c r="A29" s="1">
        <v>30</v>
      </c>
      <c r="B29" s="10" t="s">
        <v>9</v>
      </c>
      <c r="C29" s="4">
        <f>FV($D$22,$A27*12,$D$20*-1)</f>
        <v>2191118.9962932011</v>
      </c>
      <c r="D29" s="7">
        <f>C29*Portifolio_Income</f>
        <v>13146.713977759207</v>
      </c>
    </row>
    <row r="30" spans="1:9" ht="16.5" thickTop="1" thickBot="1">
      <c r="B30" s="10" t="s">
        <v>10</v>
      </c>
      <c r="C30" s="4">
        <f>FV($D$22,$A28*12,$D$20*-1)</f>
        <v>10143440.93968671</v>
      </c>
      <c r="D30" s="7">
        <f>C30*Portifolio_Income</f>
        <v>60860.645638120259</v>
      </c>
    </row>
    <row r="31" spans="1:9" ht="16.5" thickTop="1" thickBot="1">
      <c r="B31" s="11" t="s">
        <v>11</v>
      </c>
      <c r="C31" s="6">
        <f>FV($D$22,$A29*12,$D$20*-1)</f>
        <v>39005143.292850763</v>
      </c>
      <c r="D31" s="8">
        <f>C31*Portifolio_Income</f>
        <v>234030.85975710457</v>
      </c>
    </row>
    <row r="32" spans="1:9" ht="16.5" thickTop="1" thickBot="1"/>
    <row r="33" spans="2:4" ht="19.5" thickTop="1" thickBot="1">
      <c r="B33" s="17" t="s">
        <v>16</v>
      </c>
      <c r="C33" s="18" t="s">
        <v>22</v>
      </c>
      <c r="D33" s="18"/>
    </row>
    <row r="34" spans="2:4" ht="15.75" thickTop="1">
      <c r="B34" s="26" t="s">
        <v>18</v>
      </c>
      <c r="C34" s="27">
        <f>investment</f>
        <v>9000</v>
      </c>
      <c r="D34" s="27"/>
    </row>
    <row r="35" spans="2:4">
      <c r="B35" s="22" t="s">
        <v>19</v>
      </c>
      <c r="C35" s="22" t="s">
        <v>20</v>
      </c>
      <c r="D35" s="22" t="s">
        <v>21</v>
      </c>
    </row>
    <row r="36" spans="2:4">
      <c r="B36" s="19" t="s">
        <v>27</v>
      </c>
      <c r="C36" s="20">
        <f>VLOOKUP($C$33&amp;"-"&amp;B36,Planilha2!B:E,4,FALSE)</f>
        <v>0.2</v>
      </c>
      <c r="D36" s="21">
        <f t="shared" ref="D36:D41" si="0">C36*$C$34</f>
        <v>1800</v>
      </c>
    </row>
    <row r="37" spans="2:4">
      <c r="B37" s="19" t="s">
        <v>28</v>
      </c>
      <c r="C37" s="20">
        <f>VLOOKUP($C$33&amp;"-"&amp;B37,Planilha2!B:E,4,FALSE)</f>
        <v>0.15</v>
      </c>
      <c r="D37" s="21">
        <f t="shared" si="0"/>
        <v>1350</v>
      </c>
    </row>
    <row r="38" spans="2:4">
      <c r="B38" s="19" t="s">
        <v>29</v>
      </c>
      <c r="C38" s="20">
        <f>VLOOKUP($C$33&amp;"-"&amp;B38,Planilha2!B:E,4,FALSE)</f>
        <v>0.25</v>
      </c>
      <c r="D38" s="21">
        <f t="shared" si="0"/>
        <v>2250</v>
      </c>
    </row>
    <row r="39" spans="2:4">
      <c r="B39" s="19" t="s">
        <v>30</v>
      </c>
      <c r="C39" s="20">
        <f>VLOOKUP($C$33&amp;"-"&amp;B39,Planilha2!B:E,4,FALSE)</f>
        <v>0.15</v>
      </c>
      <c r="D39" s="21">
        <f t="shared" si="0"/>
        <v>1350</v>
      </c>
    </row>
    <row r="40" spans="2:4">
      <c r="B40" s="19" t="s">
        <v>31</v>
      </c>
      <c r="C40" s="20">
        <f>VLOOKUP($C$33&amp;"-"&amp;B40,Planilha2!B:E,4,FALSE)</f>
        <v>0.1</v>
      </c>
      <c r="D40" s="21">
        <f t="shared" si="0"/>
        <v>900</v>
      </c>
    </row>
    <row r="41" spans="2:4">
      <c r="B41" s="19" t="s">
        <v>32</v>
      </c>
      <c r="C41" s="20">
        <f>VLOOKUP($C$33&amp;"-"&amp;B41,Planilha2!B:E,4,FALSE)</f>
        <v>0.15</v>
      </c>
      <c r="D41" s="21">
        <f t="shared" si="0"/>
        <v>1350</v>
      </c>
    </row>
    <row r="42" spans="2:4">
      <c r="B42" s="28" t="s">
        <v>33</v>
      </c>
      <c r="C42" s="29"/>
      <c r="D42" s="30">
        <f>SUM(D36:D41)</f>
        <v>9000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</sheetData>
  <mergeCells count="11">
    <mergeCell ref="B26:C26"/>
    <mergeCell ref="B22:C22"/>
    <mergeCell ref="B24:C24"/>
    <mergeCell ref="B23:C23"/>
    <mergeCell ref="B21:C21"/>
    <mergeCell ref="B20:C20"/>
    <mergeCell ref="B15:C15"/>
    <mergeCell ref="B16:C16"/>
    <mergeCell ref="B14:D14"/>
    <mergeCell ref="B19:D19"/>
    <mergeCell ref="B17:C17"/>
  </mergeCells>
  <dataValidations count="1">
    <dataValidation type="list" allowBlank="1" showInputMessage="1" showErrorMessage="1" sqref="C33" xr:uid="{0A223718-1058-401F-9F4D-06FDDB58B836}">
      <formula1>"Aggressive,Moderate,Conservative"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071B-2DB9-4CF1-B94E-5CA023BFA9A9}">
  <dimension ref="B4:I22"/>
  <sheetViews>
    <sheetView workbookViewId="0">
      <selection activeCell="H9" sqref="H9"/>
    </sheetView>
  </sheetViews>
  <sheetFormatPr defaultRowHeight="15"/>
  <cols>
    <col min="2" max="2" width="34.42578125" bestFit="1" customWidth="1"/>
    <col min="3" max="3" width="12.5703125" bestFit="1" customWidth="1"/>
    <col min="4" max="4" width="34.140625" bestFit="1" customWidth="1"/>
    <col min="8" max="8" width="31.42578125" bestFit="1" customWidth="1"/>
    <col min="9" max="9" width="8.7109375" bestFit="1" customWidth="1"/>
  </cols>
  <sheetData>
    <row r="4" spans="2:9">
      <c r="B4" t="s">
        <v>26</v>
      </c>
      <c r="C4" t="s">
        <v>16</v>
      </c>
      <c r="D4" t="s">
        <v>23</v>
      </c>
      <c r="E4" t="s">
        <v>25</v>
      </c>
    </row>
    <row r="5" spans="2:9">
      <c r="B5" t="str">
        <f>C5&amp;"-"&amp;D5</f>
        <v>Conservative-Logistics</v>
      </c>
      <c r="C5" t="s">
        <v>22</v>
      </c>
      <c r="D5" s="19" t="s">
        <v>27</v>
      </c>
      <c r="E5" s="20">
        <v>0.2</v>
      </c>
    </row>
    <row r="6" spans="2:9">
      <c r="B6" t="str">
        <f t="shared" ref="B6:B22" si="0">C6&amp;"-"&amp;D6</f>
        <v>Conservative-Credit/Receivables</v>
      </c>
      <c r="C6" t="s">
        <v>22</v>
      </c>
      <c r="D6" s="19" t="s">
        <v>28</v>
      </c>
      <c r="E6" s="20">
        <v>0.15</v>
      </c>
    </row>
    <row r="7" spans="2:9">
      <c r="B7" t="str">
        <f t="shared" si="0"/>
        <v>Conservative-Shopping Malls</v>
      </c>
      <c r="C7" t="s">
        <v>22</v>
      </c>
      <c r="D7" s="19" t="s">
        <v>29</v>
      </c>
      <c r="E7" s="20">
        <v>0.25</v>
      </c>
    </row>
    <row r="8" spans="2:9">
      <c r="B8" t="str">
        <f t="shared" si="0"/>
        <v>Conservative-Office Buildings</v>
      </c>
      <c r="C8" t="s">
        <v>22</v>
      </c>
      <c r="D8" s="19" t="s">
        <v>30</v>
      </c>
      <c r="E8" s="20">
        <v>0.15</v>
      </c>
      <c r="H8" t="s">
        <v>34</v>
      </c>
      <c r="I8">
        <f>VLOOKUP(H8,$B:$E,4,FALSE)</f>
        <v>0.2</v>
      </c>
    </row>
    <row r="9" spans="2:9">
      <c r="B9" t="str">
        <f t="shared" si="0"/>
        <v>Conservative-Hybrid</v>
      </c>
      <c r="C9" t="s">
        <v>22</v>
      </c>
      <c r="D9" s="19" t="s">
        <v>31</v>
      </c>
      <c r="E9" s="20">
        <v>0.1</v>
      </c>
    </row>
    <row r="10" spans="2:9">
      <c r="B10" t="str">
        <f t="shared" si="0"/>
        <v>Conservative-Hospitality</v>
      </c>
      <c r="C10" t="s">
        <v>22</v>
      </c>
      <c r="D10" s="19" t="s">
        <v>32</v>
      </c>
      <c r="E10" s="20">
        <v>0.15</v>
      </c>
    </row>
    <row r="11" spans="2:9">
      <c r="B11" s="23" t="str">
        <f t="shared" si="0"/>
        <v>Moderate-Logistics</v>
      </c>
      <c r="C11" s="23" t="s">
        <v>24</v>
      </c>
      <c r="D11" s="19" t="s">
        <v>27</v>
      </c>
      <c r="E11" s="24">
        <v>0.25</v>
      </c>
    </row>
    <row r="12" spans="2:9">
      <c r="B12" t="str">
        <f t="shared" si="0"/>
        <v>Moderate-Credit/Receivables</v>
      </c>
      <c r="C12" t="s">
        <v>24</v>
      </c>
      <c r="D12" s="19" t="s">
        <v>28</v>
      </c>
      <c r="E12" s="20">
        <v>0.2</v>
      </c>
    </row>
    <row r="13" spans="2:9">
      <c r="B13" t="str">
        <f t="shared" si="0"/>
        <v>Moderate-Shopping Malls</v>
      </c>
      <c r="C13" t="s">
        <v>24</v>
      </c>
      <c r="D13" s="19" t="s">
        <v>29</v>
      </c>
      <c r="E13" s="20">
        <v>0.2</v>
      </c>
    </row>
    <row r="14" spans="2:9">
      <c r="B14" t="str">
        <f t="shared" si="0"/>
        <v>Moderate-Office Buildings</v>
      </c>
      <c r="C14" t="s">
        <v>24</v>
      </c>
      <c r="D14" s="19" t="s">
        <v>30</v>
      </c>
      <c r="E14" s="20">
        <v>0.15</v>
      </c>
    </row>
    <row r="15" spans="2:9">
      <c r="B15" t="str">
        <f t="shared" si="0"/>
        <v>Moderate-Hybrid</v>
      </c>
      <c r="C15" t="s">
        <v>24</v>
      </c>
      <c r="D15" s="19" t="s">
        <v>31</v>
      </c>
      <c r="E15" s="20">
        <v>0.1</v>
      </c>
    </row>
    <row r="16" spans="2:9">
      <c r="B16" t="str">
        <f t="shared" si="0"/>
        <v>Moderate-Hospitality</v>
      </c>
      <c r="C16" t="s">
        <v>24</v>
      </c>
      <c r="D16" s="19" t="s">
        <v>32</v>
      </c>
      <c r="E16" s="25">
        <v>0.1</v>
      </c>
    </row>
    <row r="17" spans="2:5">
      <c r="B17" s="23" t="str">
        <f t="shared" si="0"/>
        <v>Aggressive-Logistics</v>
      </c>
      <c r="C17" s="23" t="s">
        <v>17</v>
      </c>
      <c r="D17" s="19" t="s">
        <v>27</v>
      </c>
      <c r="E17" s="20">
        <v>0.3</v>
      </c>
    </row>
    <row r="18" spans="2:5">
      <c r="B18" t="str">
        <f t="shared" si="0"/>
        <v>Aggressive-Credit/Receivables</v>
      </c>
      <c r="C18" t="s">
        <v>17</v>
      </c>
      <c r="D18" s="19" t="s">
        <v>28</v>
      </c>
      <c r="E18" s="20">
        <v>0.25</v>
      </c>
    </row>
    <row r="19" spans="2:5">
      <c r="B19" t="str">
        <f t="shared" si="0"/>
        <v>Aggressive-Shopping Malls</v>
      </c>
      <c r="C19" t="s">
        <v>17</v>
      </c>
      <c r="D19" s="19" t="s">
        <v>29</v>
      </c>
      <c r="E19" s="20">
        <v>0.15</v>
      </c>
    </row>
    <row r="20" spans="2:5">
      <c r="B20" t="str">
        <f t="shared" si="0"/>
        <v>Aggressive-Office Buildings</v>
      </c>
      <c r="C20" t="s">
        <v>17</v>
      </c>
      <c r="D20" s="19" t="s">
        <v>30</v>
      </c>
      <c r="E20" s="20">
        <v>0.1</v>
      </c>
    </row>
    <row r="21" spans="2:5">
      <c r="B21" t="str">
        <f t="shared" si="0"/>
        <v>Aggressive-Hybrid</v>
      </c>
      <c r="C21" t="s">
        <v>17</v>
      </c>
      <c r="D21" s="19" t="s">
        <v>31</v>
      </c>
      <c r="E21" s="20">
        <v>0.1</v>
      </c>
    </row>
    <row r="22" spans="2:5">
      <c r="B22" t="str">
        <f t="shared" si="0"/>
        <v>Aggressive-Hospitality</v>
      </c>
      <c r="C22" t="s">
        <v>17</v>
      </c>
      <c r="D22" s="19" t="s">
        <v>32</v>
      </c>
      <c r="E22" s="20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Investiment_Suggestion</vt:lpstr>
      <vt:lpstr>investment</vt:lpstr>
      <vt:lpstr>Monthly_Fee</vt:lpstr>
      <vt:lpstr>Number_Of_Years</vt:lpstr>
      <vt:lpstr>Patrimony</vt:lpstr>
      <vt:lpstr>Portifolio_Income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Wilgleson Francisco</dc:creator>
  <cp:lastModifiedBy>Wilgleson Francisco</cp:lastModifiedBy>
  <dcterms:created xsi:type="dcterms:W3CDTF">2025-10-01T18:35:13Z</dcterms:created>
  <dcterms:modified xsi:type="dcterms:W3CDTF">2025-10-01T23:13:13Z</dcterms:modified>
</cp:coreProperties>
</file>