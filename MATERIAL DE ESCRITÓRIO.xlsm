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wilgl\Downloads\"/>
    </mc:Choice>
  </mc:AlternateContent>
  <xr:revisionPtr revIDLastSave="0" documentId="8_{4213B3B7-7549-41E2-B510-8D17C1818CD7}" xr6:coauthVersionLast="47" xr6:coauthVersionMax="47" xr10:uidLastSave="{00000000-0000-0000-0000-000000000000}"/>
  <bookViews>
    <workbookView xWindow="-120" yWindow="-120" windowWidth="29040" windowHeight="15720" xr2:uid="{176B66FE-6451-4BDA-AA13-E6EB049DBB1F}"/>
  </bookViews>
  <sheets>
    <sheet name="Planilha1" sheetId="1" r:id="rId1"/>
    <sheet name="Planilha2" sheetId="2" r:id="rId2"/>
  </sheets>
  <definedNames>
    <definedName name="Investiment_Suggestion">Planilha1!#REF!</definedName>
    <definedName name="investment">Planilha1!$D$12</definedName>
    <definedName name="Monthly_Fee">Planilha1!$D$16</definedName>
    <definedName name="Number_Of_Years">Planilha1!$D$14</definedName>
    <definedName name="Patrimony">Planilha1!$D$17</definedName>
    <definedName name="Portifolio_Income">Planilha1!#REF!</definedName>
    <definedName name="Salary">Planilha1!#REF!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33" i="1" l="1"/>
  <c r="E14" i="1"/>
  <c r="E1" i="1"/>
  <c r="E16" i="1"/>
  <c r="E17" i="1"/>
  <c r="E19" i="1"/>
  <c r="E21" i="1"/>
  <c r="E24" i="1"/>
  <c r="B6" i="2"/>
  <c r="B7" i="2"/>
  <c r="B8" i="2"/>
  <c r="B9" i="2"/>
  <c r="B10" i="2"/>
  <c r="G10" i="2"/>
  <c r="G11" i="2"/>
  <c r="G12" i="2"/>
  <c r="G13" i="2"/>
  <c r="G14" i="2"/>
  <c r="G15" i="2"/>
  <c r="Q4" i="2"/>
  <c r="Q5" i="2"/>
  <c r="Q6" i="2"/>
  <c r="Q7" i="2"/>
  <c r="Q8" i="2"/>
  <c r="Q9" i="2"/>
  <c r="B5" i="2"/>
  <c r="C32" i="1" l="1"/>
  <c r="C34" i="1" s="1"/>
  <c r="I8" i="2"/>
</calcChain>
</file>

<file path=xl/sharedStrings.xml><?xml version="1.0" encoding="utf-8"?>
<sst xmlns="http://schemas.openxmlformats.org/spreadsheetml/2006/main" count="62" uniqueCount="35">
  <si>
    <t>Profile</t>
  </si>
  <si>
    <t>Aggressive</t>
  </si>
  <si>
    <t>Conservative</t>
  </si>
  <si>
    <t>Type OF fii</t>
  </si>
  <si>
    <t>Moderate</t>
  </si>
  <si>
    <t>%</t>
  </si>
  <si>
    <t>Chave</t>
  </si>
  <si>
    <t>Logistics</t>
  </si>
  <si>
    <t>Credit/Receivables</t>
  </si>
  <si>
    <t>Shopping Malls</t>
  </si>
  <si>
    <t>Office Buildings</t>
  </si>
  <si>
    <t>Hybrid</t>
  </si>
  <si>
    <t>Hospitality</t>
  </si>
  <si>
    <t>Moderate-Credit/Receivables</t>
  </si>
  <si>
    <t>💰 Orçamento mensal disponível</t>
  </si>
  <si>
    <t>Controle de Material de Escritório</t>
  </si>
  <si>
    <t>Item</t>
  </si>
  <si>
    <t>Preço Unitário</t>
  </si>
  <si>
    <t>Papel A4</t>
  </si>
  <si>
    <t>Mouse</t>
  </si>
  <si>
    <t>Café</t>
  </si>
  <si>
    <t>Quantidade a Comprar</t>
  </si>
  <si>
    <t>Valor Total (R$)</t>
  </si>
  <si>
    <t>Caneta Azul</t>
  </si>
  <si>
    <t>Caderno</t>
  </si>
  <si>
    <t>Teclado</t>
  </si>
  <si>
    <t>💸 Total gasto com materiais</t>
  </si>
  <si>
    <t>📊 Percentual do orçamento usado</t>
  </si>
  <si>
    <t>Resumo Financeiro</t>
  </si>
  <si>
    <t>PAPELARIA</t>
  </si>
  <si>
    <t>INFORMÁTICA</t>
  </si>
  <si>
    <t>COZINHA</t>
  </si>
  <si>
    <t xml:space="preserve"> </t>
  </si>
  <si>
    <t>10</t>
  </si>
  <si>
    <t>💵Orçamento Restante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</si>
</sst>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stellar"/>
      <family val="1"/>
    </font>
    <font>
      <sz val="14"/>
      <color theme="1"/>
      <name val="Castellar"/>
      <family val="1"/>
    </font>
    <font>
      <sz val="12"/>
      <color theme="1"/>
      <name val="Aptos Narrow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0"/>
      <name val="Microsoft Tai Le"/>
      <family val="2"/>
    </font>
    <font>
      <b/>
      <sz val="12"/>
      <color theme="1"/>
      <name val="Aptos Narrow"/>
    </font>
    <font>
      <b/>
      <sz val="11"/>
      <color theme="1"/>
      <name val="Amasis MT Pro Medium"/>
      <family val="1"/>
    </font>
    <font>
      <sz val="11"/>
      <color theme="1"/>
      <name val="Amasis MT Pro Medium"/>
      <family val="1"/>
    </font>
    <font>
      <b/>
      <sz val="11"/>
      <color theme="1" tint="0.249977111117893"/>
      <name val="Amasis MT Pro Medium"/>
      <family val="1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</patternFill>
    </fill>
    <fill>
      <patternFill patternType="solid">
        <fgColor rgb="FFFFEB9C"/>
      </patternFill>
    </fill>
    <fill>
      <patternFill patternType="solid">
        <fgColor theme="0" tint="-4.9989318521683403E-2"/>
        <bgColor theme="4" tint="0.79998168889431442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ck">
        <color theme="9" tint="-0.2499465926084170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9" tint="-0.24994659260841701"/>
      </left>
      <right/>
      <top style="thick">
        <color theme="9" tint="-0.24994659260841701"/>
      </top>
      <bottom/>
      <diagonal/>
    </border>
    <border>
      <left/>
      <right style="thick">
        <color theme="9" tint="-0.24994659260841701"/>
      </right>
      <top style="thick">
        <color theme="9" tint="-0.24994659260841701"/>
      </top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7558519241921"/>
      </top>
      <bottom/>
      <diagonal/>
    </border>
    <border>
      <left style="thin">
        <color theme="5"/>
      </left>
      <right/>
      <top style="thin">
        <color theme="4" tint="0.39997558519241921"/>
      </top>
      <bottom/>
      <diagonal/>
    </border>
    <border>
      <left/>
      <right style="thin">
        <color theme="5"/>
      </right>
      <top style="thin">
        <color theme="4" tint="0.39997558519241921"/>
      </top>
      <bottom/>
      <diagonal/>
    </border>
    <border>
      <left style="thin">
        <color theme="5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5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/>
      </left>
      <right/>
      <top style="thin">
        <color theme="4" tint="0.39997558519241921"/>
      </top>
      <bottom style="thin">
        <color theme="5"/>
      </bottom>
      <diagonal/>
    </border>
    <border>
      <left/>
      <right/>
      <top style="thin">
        <color theme="4" tint="0.39997558519241921"/>
      </top>
      <bottom style="thin">
        <color theme="5"/>
      </bottom>
      <diagonal/>
    </border>
    <border>
      <left/>
      <right style="thin">
        <color theme="5"/>
      </right>
      <top style="thin">
        <color theme="4" tint="0.39997558519241921"/>
      </top>
      <bottom style="thin">
        <color theme="5"/>
      </bottom>
      <diagonal/>
    </border>
    <border>
      <left style="thin">
        <color theme="5"/>
      </left>
      <right/>
      <top/>
      <bottom style="thin">
        <color theme="4" tint="0.39997558519241921"/>
      </bottom>
      <diagonal/>
    </border>
    <border>
      <left/>
      <right style="thin">
        <color theme="5"/>
      </right>
      <top/>
      <bottom style="thin">
        <color theme="4" tint="0.39997558519241921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</borders>
  <cellStyleXfs count="5">
    <xf numFmtId="0" fontId="0" fillId="0" borderId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" fillId="5" borderId="0" applyNumberFormat="0" applyBorder="0" applyAlignment="0" applyProtection="0"/>
    <xf numFmtId="0" fontId="7" fillId="6" borderId="0" applyNumberFormat="0" applyBorder="0" applyAlignment="0" applyProtection="0"/>
  </cellStyleXfs>
  <cellXfs count="45">
    <xf numFmtId="0" fontId="0" fillId="0" borderId="0" xfId="0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4" xfId="0" applyBorder="1"/>
    <xf numFmtId="9" fontId="0" fillId="0" borderId="4" xfId="0" applyNumberForma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0" fillId="0" borderId="6" xfId="0" applyBorder="1"/>
    <xf numFmtId="0" fontId="0" fillId="0" borderId="7" xfId="0" applyBorder="1"/>
    <xf numFmtId="44" fontId="0" fillId="0" borderId="0" xfId="1" applyFont="1"/>
    <xf numFmtId="0" fontId="4" fillId="3" borderId="5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/>
    </xf>
    <xf numFmtId="44" fontId="4" fillId="3" borderId="5" xfId="0" applyNumberFormat="1" applyFont="1" applyFill="1" applyBorder="1" applyAlignment="1">
      <alignment horizontal="center"/>
    </xf>
    <xf numFmtId="0" fontId="7" fillId="6" borderId="9" xfId="4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7" fillId="6" borderId="17" xfId="4" applyFont="1" applyFill="1" applyBorder="1" applyAlignment="1">
      <alignment horizontal="center" vertical="center"/>
    </xf>
    <xf numFmtId="0" fontId="7" fillId="6" borderId="18" xfId="4" applyFont="1" applyFill="1" applyBorder="1" applyAlignment="1">
      <alignment horizontal="center" vertical="center"/>
    </xf>
    <xf numFmtId="44" fontId="9" fillId="3" borderId="5" xfId="1" applyFont="1" applyFill="1" applyBorder="1" applyAlignment="1">
      <alignment horizontal="center" vertical="center"/>
    </xf>
    <xf numFmtId="44" fontId="9" fillId="3" borderId="5" xfId="0" applyNumberFormat="1" applyFont="1" applyFill="1" applyBorder="1" applyAlignment="1">
      <alignment horizontal="center"/>
    </xf>
    <xf numFmtId="9" fontId="9" fillId="3" borderId="5" xfId="2" applyNumberFormat="1" applyFont="1" applyFill="1" applyBorder="1" applyAlignment="1">
      <alignment horizontal="center" vertical="center"/>
    </xf>
    <xf numFmtId="0" fontId="11" fillId="7" borderId="15" xfId="0" applyFont="1" applyFill="1" applyBorder="1" applyAlignment="1">
      <alignment horizontal="center"/>
    </xf>
    <xf numFmtId="0" fontId="11" fillId="7" borderId="14" xfId="0" applyFont="1" applyFill="1" applyBorder="1" applyAlignment="1">
      <alignment horizontal="center"/>
    </xf>
    <xf numFmtId="44" fontId="11" fillId="7" borderId="14" xfId="1" applyFont="1" applyFill="1" applyBorder="1" applyAlignment="1">
      <alignment horizontal="center"/>
    </xf>
    <xf numFmtId="44" fontId="11" fillId="7" borderId="16" xfId="1" applyFont="1" applyFill="1" applyBorder="1" applyAlignment="1">
      <alignment horizontal="center" wrapText="1"/>
    </xf>
    <xf numFmtId="0" fontId="11" fillId="7" borderId="13" xfId="0" applyFont="1" applyFill="1" applyBorder="1" applyAlignment="1">
      <alignment horizontal="center"/>
    </xf>
    <xf numFmtId="44" fontId="11" fillId="7" borderId="13" xfId="1" applyFont="1" applyFill="1" applyBorder="1" applyAlignment="1">
      <alignment horizontal="center"/>
    </xf>
    <xf numFmtId="0" fontId="10" fillId="7" borderId="19" xfId="0" applyFont="1" applyFill="1" applyBorder="1" applyAlignment="1">
      <alignment horizontal="center"/>
    </xf>
    <xf numFmtId="0" fontId="10" fillId="7" borderId="20" xfId="0" applyFont="1" applyFill="1" applyBorder="1" applyAlignment="1">
      <alignment horizontal="center"/>
    </xf>
    <xf numFmtId="0" fontId="10" fillId="7" borderId="21" xfId="0" applyFont="1" applyFill="1" applyBorder="1" applyAlignment="1">
      <alignment horizontal="center"/>
    </xf>
    <xf numFmtId="0" fontId="12" fillId="7" borderId="15" xfId="0" applyFont="1" applyFill="1" applyBorder="1" applyAlignment="1">
      <alignment horizontal="center"/>
    </xf>
    <xf numFmtId="0" fontId="12" fillId="7" borderId="14" xfId="0" applyFont="1" applyFill="1" applyBorder="1" applyAlignment="1">
      <alignment horizontal="center"/>
    </xf>
    <xf numFmtId="44" fontId="12" fillId="7" borderId="14" xfId="1" applyFont="1" applyFill="1" applyBorder="1" applyAlignment="1">
      <alignment horizontal="center"/>
    </xf>
    <xf numFmtId="44" fontId="12" fillId="7" borderId="16" xfId="1" applyFont="1" applyFill="1" applyBorder="1" applyAlignment="1">
      <alignment horizontal="center"/>
    </xf>
    <xf numFmtId="0" fontId="12" fillId="7" borderId="13" xfId="0" applyFont="1" applyFill="1" applyBorder="1" applyAlignment="1">
      <alignment horizontal="center"/>
    </xf>
    <xf numFmtId="44" fontId="12" fillId="7" borderId="13" xfId="1" applyFont="1" applyFill="1" applyBorder="1" applyAlignment="1">
      <alignment horizontal="center"/>
    </xf>
    <xf numFmtId="0" fontId="7" fillId="6" borderId="22" xfId="4" applyFont="1" applyFill="1" applyBorder="1" applyAlignment="1">
      <alignment horizontal="center" vertical="center"/>
    </xf>
    <xf numFmtId="0" fontId="7" fillId="6" borderId="10" xfId="4" applyFont="1" applyFill="1" applyBorder="1" applyAlignment="1">
      <alignment horizontal="center" vertical="center"/>
    </xf>
    <xf numFmtId="0" fontId="7" fillId="6" borderId="23" xfId="4" applyFont="1" applyFill="1" applyBorder="1" applyAlignment="1">
      <alignment horizontal="center" vertical="center"/>
    </xf>
    <xf numFmtId="0" fontId="8" fillId="5" borderId="24" xfId="3" applyFont="1" applyFill="1" applyBorder="1" applyAlignment="1">
      <alignment horizontal="center" vertical="center" wrapText="1"/>
    </xf>
    <xf numFmtId="0" fontId="8" fillId="5" borderId="25" xfId="3" applyFont="1" applyFill="1" applyBorder="1" applyAlignment="1">
      <alignment horizontal="center" vertical="center" wrapText="1"/>
    </xf>
    <xf numFmtId="0" fontId="8" fillId="5" borderId="26" xfId="3" applyFont="1" applyFill="1" applyBorder="1" applyAlignment="1">
      <alignment horizontal="center" vertical="center" wrapText="1"/>
    </xf>
  </cellXfs>
  <cellStyles count="5">
    <cellStyle name="Ênfase2" xfId="3" builtinId="33"/>
    <cellStyle name="Moeda" xfId="1" builtinId="4"/>
    <cellStyle name="Neutro" xfId="4" builtinId="28"/>
    <cellStyle name="Normal" xfId="0" builtinId="0"/>
    <cellStyle name="Porcentagem" xfId="2" builtinId="5"/>
  </cellStyles>
  <dxfs count="0"/>
  <tableStyles count="0" defaultTableStyle="TableStyleMedium2" defaultPivotStyle="PivotStyleLight16"/>
  <colors>
    <mruColors>
      <color rgb="FFFFFFFF"/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933739</xdr:colOff>
      <xdr:row>11</xdr:row>
      <xdr:rowOff>243910</xdr:rowOff>
    </xdr:from>
    <xdr:to>
      <xdr:col>5</xdr:col>
      <xdr:colOff>154341</xdr:colOff>
      <xdr:row>13</xdr:row>
      <xdr:rowOff>47931</xdr:rowOff>
    </xdr:to>
    <xdr:pic macro="[0]!AddLinhaCategoria">
      <xdr:nvPicPr>
        <xdr:cNvPr id="5" name="Gráfico 4" descr="Clipe de papel com preenchimento sólido">
          <a:extLst>
            <a:ext uri="{FF2B5EF4-FFF2-40B4-BE49-F238E27FC236}">
              <a16:creationId xmlns:a16="http://schemas.microsoft.com/office/drawing/2014/main" id="{CCCB0785-3E3E-49CC-AF04-27758159B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4125872" flipV="1">
          <a:off x="8876392" y="2864482"/>
          <a:ext cx="308846" cy="3064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3A22-862F-45F5-8182-A74223988638}">
  <sheetPr codeName="Planilha1"/>
  <dimension ref="A1:M36"/>
  <sheetViews>
    <sheetView showGridLines="0" tabSelected="1" zoomScaleNormal="370" workbookViewId="0">
      <selection activeCell="D35" sqref="D35"/>
    </sheetView>
  </sheetViews>
  <sheetFormatPr defaultColWidth="0" defaultRowHeight="15"/>
  <cols>
    <col min="1" max="1" width="11" customWidth="1"/>
    <col min="2" max="2" width="36.42578125" customWidth="1"/>
    <col min="3" max="3" width="34.42578125" customWidth="1"/>
    <col min="4" max="4" width="37.28515625" customWidth="1"/>
    <col min="5" max="6" width="16.28515625" customWidth="1"/>
    <col min="7" max="7" width="9.140625" customWidth="1"/>
    <col min="8" max="8" width="9.140625" hidden="1" customWidth="1"/>
    <col min="9" max="9" width="21.5703125" hidden="1" customWidth="1"/>
    <col min="10" max="10" width="16.7109375" hidden="1" customWidth="1"/>
    <col min="11" max="11" width="11.7109375" hidden="1" customWidth="1"/>
    <col min="12" max="13" width="0" hidden="1" customWidth="1"/>
    <col min="14" max="16384" width="9.140625" hidden="1"/>
  </cols>
  <sheetData>
    <row r="1" spans="2:5">
      <c r="E1" t="str">
        <f>IFERROR(C14:C1006 * D14:D1006, "")</f>
        <v/>
      </c>
    </row>
    <row r="4" spans="2:5" ht="24.95" customHeight="1"/>
    <row r="8" spans="2:5" ht="24.95" customHeight="1"/>
    <row r="10" spans="2:5" ht="15.75" thickBot="1"/>
    <row r="11" spans="2:5" ht="27.75" thickTop="1">
      <c r="B11" s="16" t="s">
        <v>15</v>
      </c>
      <c r="C11" s="17"/>
      <c r="D11" s="17"/>
      <c r="E11" s="18"/>
    </row>
    <row r="12" spans="2:5" ht="24.95" customHeight="1">
      <c r="B12" s="42" t="s">
        <v>16</v>
      </c>
      <c r="C12" s="43" t="s">
        <v>21</v>
      </c>
      <c r="D12" s="43" t="s">
        <v>17</v>
      </c>
      <c r="E12" s="44" t="s">
        <v>22</v>
      </c>
    </row>
    <row r="13" spans="2:5">
      <c r="B13" s="39" t="s">
        <v>29</v>
      </c>
      <c r="C13" s="40"/>
      <c r="D13" s="40"/>
      <c r="E13" s="41"/>
    </row>
    <row r="14" spans="2:5" ht="15.75">
      <c r="B14" s="24" t="s">
        <v>18</v>
      </c>
      <c r="C14" s="25" t="s">
        <v>33</v>
      </c>
      <c r="D14" s="26">
        <v>25</v>
      </c>
      <c r="E14" s="27">
        <f>IFERROR(C14:C1006 * D14:D1006, "")</f>
        <v>250</v>
      </c>
    </row>
    <row r="15" spans="2:5" ht="15" customHeight="1">
      <c r="B15" s="24"/>
      <c r="C15" s="25"/>
      <c r="D15" s="26"/>
      <c r="E15" s="27"/>
    </row>
    <row r="16" spans="2:5" ht="15" customHeight="1">
      <c r="B16" s="24" t="s">
        <v>23</v>
      </c>
      <c r="C16" s="25">
        <v>10</v>
      </c>
      <c r="D16" s="26">
        <v>2.5</v>
      </c>
      <c r="E16" s="27">
        <f>Number_Of_Years*C16</f>
        <v>250</v>
      </c>
    </row>
    <row r="17" spans="2:10" ht="15" customHeight="1">
      <c r="B17" s="24" t="s">
        <v>24</v>
      </c>
      <c r="C17" s="28">
        <v>6</v>
      </c>
      <c r="D17" s="29">
        <v>15</v>
      </c>
      <c r="E17" s="27">
        <f>Number_Of_Years*C17</f>
        <v>150</v>
      </c>
      <c r="G17" t="s">
        <v>32</v>
      </c>
    </row>
    <row r="18" spans="2:10" ht="26.25" customHeight="1">
      <c r="B18" s="19" t="s">
        <v>30</v>
      </c>
      <c r="C18" s="13"/>
      <c r="D18" s="13"/>
      <c r="E18" s="20"/>
    </row>
    <row r="19" spans="2:10" ht="19.5" customHeight="1">
      <c r="B19" s="33" t="s">
        <v>19</v>
      </c>
      <c r="C19" s="34">
        <v>2</v>
      </c>
      <c r="D19" s="35">
        <v>60</v>
      </c>
      <c r="E19" s="36">
        <f>Planilha1!$C19*Planilha1!$D19</f>
        <v>120</v>
      </c>
    </row>
    <row r="20" spans="2:10" ht="15" customHeight="1">
      <c r="B20" s="33"/>
      <c r="C20" s="34"/>
      <c r="D20" s="35"/>
      <c r="E20" s="36"/>
    </row>
    <row r="21" spans="2:10" ht="15" customHeight="1">
      <c r="B21" s="33" t="s">
        <v>25</v>
      </c>
      <c r="C21" s="34">
        <v>3</v>
      </c>
      <c r="D21" s="35">
        <v>80</v>
      </c>
      <c r="E21" s="36">
        <f>Planilha1!$C21*Planilha1!$D21</f>
        <v>240</v>
      </c>
    </row>
    <row r="22" spans="2:10" ht="15.75" customHeight="1">
      <c r="B22" s="33"/>
      <c r="C22" s="37"/>
      <c r="D22" s="38"/>
      <c r="E22" s="36"/>
      <c r="J22" s="1"/>
    </row>
    <row r="23" spans="2:10" ht="15.75" customHeight="1">
      <c r="B23" s="19" t="s">
        <v>31</v>
      </c>
      <c r="C23" s="13"/>
      <c r="D23" s="13"/>
      <c r="E23" s="20"/>
    </row>
    <row r="24" spans="2:10" ht="15.75">
      <c r="B24" s="30" t="s">
        <v>20</v>
      </c>
      <c r="C24" s="31">
        <v>3</v>
      </c>
      <c r="D24" s="31">
        <v>15</v>
      </c>
      <c r="E24" s="32">
        <f>Planilha1!$C24*Planilha1!$D24</f>
        <v>45</v>
      </c>
    </row>
    <row r="25" spans="2:10" ht="15.75">
      <c r="B25" s="30"/>
      <c r="C25" s="31"/>
      <c r="D25" s="31"/>
      <c r="E25" s="32"/>
    </row>
    <row r="29" spans="2:10" ht="15.75" thickBot="1"/>
    <row r="30" spans="2:10" ht="19.5" thickBot="1">
      <c r="B30" s="14" t="s">
        <v>28</v>
      </c>
      <c r="C30" s="15"/>
    </row>
    <row r="31" spans="2:10" ht="16.5" thickBot="1">
      <c r="B31" s="10" t="s">
        <v>14</v>
      </c>
      <c r="C31" s="21">
        <v>3000</v>
      </c>
    </row>
    <row r="32" spans="2:10" ht="15.75" customHeight="1" thickBot="1">
      <c r="B32" s="11" t="s">
        <v>26</v>
      </c>
      <c r="C32" s="22">
        <f>SUM(E:E)</f>
        <v>1055</v>
      </c>
    </row>
    <row r="33" spans="1:7" s="7" customFormat="1" ht="16.5" thickBot="1">
      <c r="A33"/>
      <c r="B33" s="11" t="s">
        <v>34</v>
      </c>
      <c r="C33" s="12">
        <f>C31-C32</f>
        <v>1945</v>
      </c>
      <c r="D33"/>
      <c r="E33"/>
      <c r="F33"/>
      <c r="G33"/>
    </row>
    <row r="34" spans="1:7" s="8" customFormat="1" ht="16.5" thickBot="1">
      <c r="A34"/>
      <c r="B34" s="10" t="s">
        <v>27</v>
      </c>
      <c r="C34" s="23">
        <f>C32/C31</f>
        <v>0.35166666666666668</v>
      </c>
      <c r="D34"/>
      <c r="E34"/>
      <c r="F34"/>
      <c r="G34"/>
    </row>
    <row r="36" spans="1:7">
      <c r="C36" s="1"/>
      <c r="D36" s="1"/>
      <c r="E36" s="9"/>
      <c r="F36" s="9"/>
    </row>
  </sheetData>
  <mergeCells count="5">
    <mergeCell ref="B18:E18"/>
    <mergeCell ref="B23:E23"/>
    <mergeCell ref="B11:E11"/>
    <mergeCell ref="B30:C30"/>
    <mergeCell ref="B13:E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F071B-2DB9-4CF1-B94E-5CA023BFA9A9}">
  <sheetPr codeName="Planilha2"/>
  <dimension ref="B4:T15"/>
  <sheetViews>
    <sheetView workbookViewId="0">
      <selection activeCell="I29" sqref="I29"/>
    </sheetView>
  </sheetViews>
  <sheetFormatPr defaultRowHeight="15"/>
  <cols>
    <col min="2" max="2" width="34.42578125" bestFit="1" customWidth="1"/>
    <col min="3" max="3" width="12.5703125" bestFit="1" customWidth="1"/>
    <col min="4" max="4" width="34.140625" bestFit="1" customWidth="1"/>
    <col min="8" max="8" width="31.42578125" bestFit="1" customWidth="1"/>
    <col min="9" max="9" width="8.7109375" bestFit="1" customWidth="1"/>
  </cols>
  <sheetData>
    <row r="4" spans="2:20">
      <c r="B4" t="s">
        <v>6</v>
      </c>
      <c r="C4" t="s">
        <v>0</v>
      </c>
      <c r="D4" t="s">
        <v>3</v>
      </c>
      <c r="E4" t="s">
        <v>5</v>
      </c>
      <c r="Q4" s="4" t="str">
        <f t="shared" ref="Q4:Q9" si="0">R4&amp;"-"&amp;S4</f>
        <v>Aggressive-Logistics</v>
      </c>
      <c r="R4" s="4" t="s">
        <v>1</v>
      </c>
      <c r="S4" s="2" t="s">
        <v>7</v>
      </c>
      <c r="T4" s="3">
        <v>0.3</v>
      </c>
    </row>
    <row r="5" spans="2:20">
      <c r="B5" t="str">
        <f>C5&amp;"-"&amp;D5</f>
        <v>Conservative-Logistics</v>
      </c>
      <c r="C5" t="s">
        <v>2</v>
      </c>
      <c r="D5" s="2" t="s">
        <v>7</v>
      </c>
      <c r="E5" s="3">
        <v>0.2</v>
      </c>
      <c r="Q5" t="str">
        <f t="shared" si="0"/>
        <v>Aggressive-Credit/Receivables</v>
      </c>
      <c r="R5" t="s">
        <v>1</v>
      </c>
      <c r="S5" s="2" t="s">
        <v>8</v>
      </c>
      <c r="T5" s="3">
        <v>0.25</v>
      </c>
    </row>
    <row r="6" spans="2:20">
      <c r="B6" t="str">
        <f t="shared" ref="B6:B10" si="1">C6&amp;"-"&amp;D6</f>
        <v>Conservative-Credit/Receivables</v>
      </c>
      <c r="C6" t="s">
        <v>2</v>
      </c>
      <c r="D6" s="2" t="s">
        <v>8</v>
      </c>
      <c r="E6" s="3">
        <v>0.15</v>
      </c>
      <c r="Q6" t="str">
        <f t="shared" si="0"/>
        <v>Aggressive-Shopping Malls</v>
      </c>
      <c r="R6" t="s">
        <v>1</v>
      </c>
      <c r="S6" s="2" t="s">
        <v>9</v>
      </c>
      <c r="T6" s="3">
        <v>0.15</v>
      </c>
    </row>
    <row r="7" spans="2:20">
      <c r="B7" t="str">
        <f t="shared" si="1"/>
        <v>Conservative-Shopping Malls</v>
      </c>
      <c r="C7" t="s">
        <v>2</v>
      </c>
      <c r="D7" s="2" t="s">
        <v>9</v>
      </c>
      <c r="E7" s="3">
        <v>0.25</v>
      </c>
      <c r="Q7" t="str">
        <f t="shared" si="0"/>
        <v>Aggressive-Office Buildings</v>
      </c>
      <c r="R7" t="s">
        <v>1</v>
      </c>
      <c r="S7" s="2" t="s">
        <v>10</v>
      </c>
      <c r="T7" s="3">
        <v>0.1</v>
      </c>
    </row>
    <row r="8" spans="2:20">
      <c r="B8" t="str">
        <f t="shared" si="1"/>
        <v>Conservative-Office Buildings</v>
      </c>
      <c r="C8" t="s">
        <v>2</v>
      </c>
      <c r="D8" s="2" t="s">
        <v>10</v>
      </c>
      <c r="E8" s="3">
        <v>0.15</v>
      </c>
      <c r="H8" t="s">
        <v>13</v>
      </c>
      <c r="I8" t="e">
        <f>VLOOKUP(H8,$B:$E,4,FALSE)</f>
        <v>#N/A</v>
      </c>
      <c r="Q8" t="str">
        <f t="shared" si="0"/>
        <v>Aggressive-Hybrid</v>
      </c>
      <c r="R8" t="s">
        <v>1</v>
      </c>
      <c r="S8" s="2" t="s">
        <v>11</v>
      </c>
      <c r="T8" s="3">
        <v>0.1</v>
      </c>
    </row>
    <row r="9" spans="2:20">
      <c r="B9" t="str">
        <f t="shared" si="1"/>
        <v>Conservative-Hybrid</v>
      </c>
      <c r="C9" t="s">
        <v>2</v>
      </c>
      <c r="D9" s="2" t="s">
        <v>11</v>
      </c>
      <c r="E9" s="3">
        <v>0.1</v>
      </c>
      <c r="Q9" t="str">
        <f t="shared" si="0"/>
        <v>Aggressive-Hospitality</v>
      </c>
      <c r="R9" t="s">
        <v>1</v>
      </c>
      <c r="S9" s="2" t="s">
        <v>12</v>
      </c>
      <c r="T9" s="3">
        <v>0.1</v>
      </c>
    </row>
    <row r="10" spans="2:20">
      <c r="B10" t="str">
        <f t="shared" si="1"/>
        <v>Conservative-Hospitality</v>
      </c>
      <c r="C10" t="s">
        <v>2</v>
      </c>
      <c r="D10" s="2" t="s">
        <v>12</v>
      </c>
      <c r="E10" s="3">
        <v>0.15</v>
      </c>
      <c r="G10" s="4" t="str">
        <f t="shared" ref="G10:G15" si="2">H10&amp;"-"&amp;I10</f>
        <v>Moderate-Logistics</v>
      </c>
      <c r="H10" s="4" t="s">
        <v>4</v>
      </c>
      <c r="I10" s="2" t="s">
        <v>7</v>
      </c>
      <c r="J10" s="5">
        <v>0.25</v>
      </c>
    </row>
    <row r="11" spans="2:20">
      <c r="G11" t="str">
        <f t="shared" si="2"/>
        <v>Moderate-Credit/Receivables</v>
      </c>
      <c r="H11" t="s">
        <v>4</v>
      </c>
      <c r="I11" s="2" t="s">
        <v>8</v>
      </c>
      <c r="J11" s="3">
        <v>0.2</v>
      </c>
    </row>
    <row r="12" spans="2:20">
      <c r="G12" t="str">
        <f t="shared" si="2"/>
        <v>Moderate-Shopping Malls</v>
      </c>
      <c r="H12" t="s">
        <v>4</v>
      </c>
      <c r="I12" s="2" t="s">
        <v>9</v>
      </c>
      <c r="J12" s="3">
        <v>0.2</v>
      </c>
    </row>
    <row r="13" spans="2:20">
      <c r="G13" t="str">
        <f t="shared" si="2"/>
        <v>Moderate-Office Buildings</v>
      </c>
      <c r="H13" t="s">
        <v>4</v>
      </c>
      <c r="I13" s="2" t="s">
        <v>10</v>
      </c>
      <c r="J13" s="3">
        <v>0.15</v>
      </c>
    </row>
    <row r="14" spans="2:20">
      <c r="G14" t="str">
        <f t="shared" si="2"/>
        <v>Moderate-Hybrid</v>
      </c>
      <c r="H14" t="s">
        <v>4</v>
      </c>
      <c r="I14" s="2" t="s">
        <v>11</v>
      </c>
      <c r="J14" s="3">
        <v>0.1</v>
      </c>
    </row>
    <row r="15" spans="2:20">
      <c r="G15" t="str">
        <f t="shared" si="2"/>
        <v>Moderate-Hospitality</v>
      </c>
      <c r="H15" t="s">
        <v>4</v>
      </c>
      <c r="I15" s="2" t="s">
        <v>12</v>
      </c>
      <c r="J15" s="6">
        <v>0.1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4</vt:i4>
      </vt:variant>
    </vt:vector>
  </HeadingPairs>
  <TitlesOfParts>
    <vt:vector size="6" baseType="lpstr">
      <vt:lpstr>Planilha1</vt:lpstr>
      <vt:lpstr>Planilha2</vt:lpstr>
      <vt:lpstr>investment</vt:lpstr>
      <vt:lpstr>Monthly_Fee</vt:lpstr>
      <vt:lpstr>Number_Of_Years</vt:lpstr>
      <vt:lpstr>Patrimony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Wilgleson Francisco</dc:creator>
  <cp:lastModifiedBy>Wilgleson Francisco</cp:lastModifiedBy>
  <dcterms:created xsi:type="dcterms:W3CDTF">2025-10-01T18:35:13Z</dcterms:created>
  <dcterms:modified xsi:type="dcterms:W3CDTF">2025-11-14T11:12:09Z</dcterms:modified>
</cp:coreProperties>
</file>